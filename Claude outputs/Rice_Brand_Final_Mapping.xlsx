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nal Brand Mapping" sheetId="1" state="visible" r:id="rId3"/>
    <sheet name="Consolidated SKU Detail" sheetId="2" state="visible" r:id="rId4"/>
    <sheet name="Bracket Evidence (Unbranded)" sheetId="3" state="visible" r:id="rId5"/>
    <sheet name="Hold - Needs Clarification" sheetId="4" state="visible" r:id="rId6"/>
    <sheet name="Coverage Summary" sheetId="5" state="visible" r:id="rId7"/>
    <sheet name="30-Day Price Log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<sst xmlns="http://schemas.openxmlformats.org/spreadsheetml/2006/main" count="753" uniqueCount="226">
  <si>
    <t xml:space="preserve">AgriPricePH — Final Rice Brand Mapping (for rice_brand seed)</t>
  </si>
  <si>
    <t xml:space="preserve">Consolidated: 1 row per brand per category. Ordered Local → Imported. 36 brand-category rows / 32 unique brands. Rows added by user request are highlighted purple.</t>
  </si>
  <si>
    <t xml:space="preserve">Segment</t>
  </si>
  <si>
    <t xml:space="preserve">Category (canonical_key)</t>
  </si>
  <si>
    <t xml:space="preserve">Brand Name</t>
  </si>
  <si>
    <t xml:space="preserve">Package / Variety</t>
  </si>
  <si>
    <t xml:space="preserve">SKUs merged</t>
  </si>
  <si>
    <t xml:space="preserve">Price per Kilo (₱)</t>
  </si>
  <si>
    <t xml:space="preserve">Location / Origin</t>
  </si>
  <si>
    <t xml:space="preserve">Source Sheet</t>
  </si>
  <si>
    <t xml:space="preserve">Is Verified?</t>
  </si>
  <si>
    <t xml:space="preserve">Note</t>
  </si>
  <si>
    <t xml:space="preserve">Local</t>
  </si>
  <si>
    <t xml:space="preserve">locSpecial — Local Special</t>
  </si>
  <si>
    <t xml:space="preserve">Doña Maria</t>
  </si>
  <si>
    <t xml:space="preserve">2 varieties: Jasponica, Miponica</t>
  </si>
  <si>
    <t xml:space="preserve">₱129.00–130.00/kg</t>
  </si>
  <si>
    <t xml:space="preserve">Pangasinan / Tarlac</t>
  </si>
  <si>
    <t xml:space="preserve">Grocery</t>
  </si>
  <si>
    <t xml:space="preserve">NO — field survey, pending DTI verification</t>
  </si>
  <si>
    <t xml:space="preserve">2 SKUs from this brand fall under this same category — consolidated into one catalog entry (price shown as the range across its SKUs). Each individual SKU price is preserved in 'Consolidated SKU Detail' for future price-bracket seeding.</t>
  </si>
  <si>
    <t xml:space="preserve">Equal Rice</t>
  </si>
  <si>
    <t xml:space="preserve">7 varieties: Dinorado, Garcia Salvador, Gold Sun, Jasmine, Long Grain, Sampaguita Dinorado, Sinandomeng </t>
  </si>
  <si>
    <t xml:space="preserve">₱57.00–66.00/kg</t>
  </si>
  <si>
    <t xml:space="preserve">NCR (unspecified)</t>
  </si>
  <si>
    <t xml:space="preserve">7 SKUs from this brand fall under this same category — consolidated into one catalog entry (price shown as the range across its SKUs). Each individual SKU price is preserved in 'Consolidated SKU Detail' for future price-bracket seeding.</t>
  </si>
  <si>
    <t xml:space="preserve">Harvester's</t>
  </si>
  <si>
    <t xml:space="preserve">2 varieties: Dinorado, Malagkit</t>
  </si>
  <si>
    <t xml:space="preserve">₱54.50–103.00/kg</t>
  </si>
  <si>
    <t xml:space="preserve">Mandaluyong (Repacker)</t>
  </si>
  <si>
    <t xml:space="preserve">Jordan Farms</t>
  </si>
  <si>
    <t xml:space="preserve">Red Rice</t>
  </si>
  <si>
    <t xml:space="preserve">₱115.00/kg</t>
  </si>
  <si>
    <t xml:space="preserve">Cordillera / NCR</t>
  </si>
  <si>
    <t xml:space="preserve">Named, priced, gradeable product — included as a catalog brand row.</t>
  </si>
  <si>
    <t xml:space="preserve">Mrs. Lam</t>
  </si>
  <si>
    <t xml:space="preserve">Dinorado</t>
  </si>
  <si>
    <t xml:space="preserve">₱102.00/kg</t>
  </si>
  <si>
    <t xml:space="preserve">Bulacan / Nueva Ecija</t>
  </si>
  <si>
    <t xml:space="preserve">Sunny Gold</t>
  </si>
  <si>
    <t xml:space="preserve">₱58.00/kg</t>
  </si>
  <si>
    <t xml:space="preserve">NCR (Repacker)</t>
  </si>
  <si>
    <t xml:space="preserve">Willie Farms</t>
  </si>
  <si>
    <t xml:space="preserve">Sinandomeng</t>
  </si>
  <si>
    <t xml:space="preserve">₱87.80/kg</t>
  </si>
  <si>
    <t xml:space="preserve">locPremium — Local Premium</t>
  </si>
  <si>
    <t xml:space="preserve">1230</t>
  </si>
  <si>
    <t xml:space="preserve">Regular Milled</t>
  </si>
  <si>
    <t xml:space="preserve">₱52.00/kg</t>
  </si>
  <si>
    <t xml:space="preserve">Philippines</t>
  </si>
  <si>
    <t xml:space="preserve">Local Market</t>
  </si>
  <si>
    <t xml:space="preserve">1260 Berry</t>
  </si>
  <si>
    <t xml:space="preserve">₱54.00/kg</t>
  </si>
  <si>
    <t xml:space="preserve">Angelica</t>
  </si>
  <si>
    <t xml:space="preserve">₱50.00/kg</t>
  </si>
  <si>
    <t xml:space="preserve">Boy Kanin</t>
  </si>
  <si>
    <t xml:space="preserve">₱53.00/kg</t>
  </si>
  <si>
    <t xml:space="preserve">Buko Pandan</t>
  </si>
  <si>
    <t xml:space="preserve">RC-160</t>
  </si>
  <si>
    <t xml:space="preserve">Ganador</t>
  </si>
  <si>
    <t xml:space="preserve">Broken</t>
  </si>
  <si>
    <t xml:space="preserve">₱45.00/kg</t>
  </si>
  <si>
    <t xml:space="preserve">2 varieties: Brown Rice, Sinandomeng</t>
  </si>
  <si>
    <t xml:space="preserve">₱80.00–101.00/kg</t>
  </si>
  <si>
    <t xml:space="preserve">Henri &amp; Isabelle</t>
  </si>
  <si>
    <t xml:space="preserve">4 varieties: Black Rice, Brown Rice, Fine Grain Rice 100% broken, Red Rice</t>
  </si>
  <si>
    <t xml:space="preserve">₱85.00–109.50/kg</t>
  </si>
  <si>
    <t xml:space="preserve">4 SKUs from this brand fall under this same category — consolidated into one catalog entry (price shown as the range across its SKUs). Each individual SKU price is preserved in 'Consolidated SKU Detail' for future price-bracket seeding.</t>
  </si>
  <si>
    <t xml:space="preserve">Jasmine Sweet</t>
  </si>
  <si>
    <t xml:space="preserve">Jasmine</t>
  </si>
  <si>
    <t xml:space="preserve">Jasmine Yellow</t>
  </si>
  <si>
    <t xml:space="preserve">Lion Ivory</t>
  </si>
  <si>
    <t xml:space="preserve">Premium</t>
  </si>
  <si>
    <t xml:space="preserve">₱64.00/kg</t>
  </si>
  <si>
    <t xml:space="preserve">Magic C</t>
  </si>
  <si>
    <t xml:space="preserve">₱87.00/kg</t>
  </si>
  <si>
    <t xml:space="preserve">Rangayan</t>
  </si>
  <si>
    <t xml:space="preserve">Dinorado (Aromatic)</t>
  </si>
  <si>
    <t xml:space="preserve">₱85.00/kg</t>
  </si>
  <si>
    <t xml:space="preserve">locRegular — Local Regular-Milled</t>
  </si>
  <si>
    <t xml:space="preserve">1180</t>
  </si>
  <si>
    <t xml:space="preserve">₱48.00/kg</t>
  </si>
  <si>
    <t xml:space="preserve">1220</t>
  </si>
  <si>
    <t xml:space="preserve">₱49.00/kg</t>
  </si>
  <si>
    <t xml:space="preserve">Adarna</t>
  </si>
  <si>
    <t xml:space="preserve">₱47.00/kg</t>
  </si>
  <si>
    <t xml:space="preserve">Binhi Alsa</t>
  </si>
  <si>
    <t xml:space="preserve">Magnolia</t>
  </si>
  <si>
    <t xml:space="preserve">NFA</t>
  </si>
  <si>
    <t xml:space="preserve">Unknown</t>
  </si>
  <si>
    <t xml:space="preserve">₱21.00/kg</t>
  </si>
  <si>
    <t xml:space="preserve">Imported</t>
  </si>
  <si>
    <t xml:space="preserve">impSpecial — Imported Special</t>
  </si>
  <si>
    <t xml:space="preserve">FarmBoy</t>
  </si>
  <si>
    <t xml:space="preserve">Thai Jasmine</t>
  </si>
  <si>
    <t xml:space="preserve">₱74.00/kg</t>
  </si>
  <si>
    <t xml:space="preserve">Thailand</t>
  </si>
  <si>
    <t xml:space="preserve">₱142.00/kg</t>
  </si>
  <si>
    <t xml:space="preserve">Royal Chef</t>
  </si>
  <si>
    <t xml:space="preserve">Thai Hom Mali</t>
  </si>
  <si>
    <t xml:space="preserve">₱130.00/kg</t>
  </si>
  <si>
    <t xml:space="preserve">impPremium — Imported Premium</t>
  </si>
  <si>
    <t xml:space="preserve">Master Chef</t>
  </si>
  <si>
    <t xml:space="preserve">Whole Grain Rice 5% Thai</t>
  </si>
  <si>
    <t xml:space="preserve">₱49.96/kg</t>
  </si>
  <si>
    <t xml:space="preserve">Planters</t>
  </si>
  <si>
    <t xml:space="preserve">Thai 5% broken</t>
  </si>
  <si>
    <t xml:space="preserve">Royal Peregrine</t>
  </si>
  <si>
    <t xml:space="preserve">Thai 5%</t>
  </si>
  <si>
    <t xml:space="preserve">Royal Sheep</t>
  </si>
  <si>
    <t xml:space="preserve">impWellMilled — Well-Milled</t>
  </si>
  <si>
    <t xml:space="preserve">Thai Long Grain White Rice</t>
  </si>
  <si>
    <t xml:space="preserve">₱70.00/kg</t>
  </si>
  <si>
    <t xml:space="preserve">Imported (origin unspecified)</t>
  </si>
  <si>
    <t xml:space="preserve">User-provided addition</t>
  </si>
  <si>
    <t xml:space="preserve">Named, priced, gradeable product — included as a catalog brand row. Fills the previously-empty Imported Well-Milled category. Brand name normalized "Masterchef" → "Master Chef" to match the existing Master Chef entry (Imported Premium, Whole Grain Rice 5% Thai) — same brand, second SKU/category.</t>
  </si>
  <si>
    <t xml:space="preserve">impRegular — Regular-Milled</t>
  </si>
  <si>
    <t xml:space="preserve">Akira</t>
  </si>
  <si>
    <t xml:space="preserve">Premium Regular Milled Rice</t>
  </si>
  <si>
    <t xml:space="preserve">Named, priced, gradeable product — included as a catalog brand row. Fills the previously-empty Imported Regular-Milled category.</t>
  </si>
  <si>
    <t xml:space="preserve">Underlying SKUs for brands that were merged into one catalog row</t>
  </si>
  <si>
    <t xml:space="preserve">Nothing was discarded — use this if/when you seed per-SKU price_bracket rows later.</t>
  </si>
  <si>
    <t xml:space="preserve">Brand</t>
  </si>
  <si>
    <t xml:space="preserve">Category</t>
  </si>
  <si>
    <t xml:space="preserve">Variety</t>
  </si>
  <si>
    <t xml:space="preserve">Brown Rice</t>
  </si>
  <si>
    <t xml:space="preserve">Black Rice</t>
  </si>
  <si>
    <t xml:space="preserve">Fine Grain Rice 100% broken</t>
  </si>
  <si>
    <t xml:space="preserve">Jasponica</t>
  </si>
  <si>
    <t xml:space="preserve">Miponica</t>
  </si>
  <si>
    <t xml:space="preserve">Garcia Salvador</t>
  </si>
  <si>
    <t xml:space="preserve">Gold Sun</t>
  </si>
  <si>
    <t xml:space="preserve">Long Grain</t>
  </si>
  <si>
    <t xml:space="preserve">Sampaguita Dinorado</t>
  </si>
  <si>
    <t xml:space="preserve">Sinandomeng </t>
  </si>
  <si>
    <t xml:space="preserve">Malagkit</t>
  </si>
  <si>
    <t xml:space="preserve">Unbranded rows — route to rice_price_bracket, not rice_brand</t>
  </si>
  <si>
    <t xml:space="preserve">These are "Generic" observations: real market price evidence, no distinguishable brand name.</t>
  </si>
  <si>
    <t xml:space="preserve">Rice Variety (as observed)</t>
  </si>
  <si>
    <t xml:space="preserve">No distinguishable brand name ("Generic") — routed as category-level market price evidence (rice_price_bracket), not a brand row.</t>
  </si>
  <si>
    <t xml:space="preserve">locWellMilled — Local Well-Milled</t>
  </si>
  <si>
    <t xml:space="preserve">Well Milled</t>
  </si>
  <si>
    <t xml:space="preserve">—</t>
  </si>
  <si>
    <t xml:space="preserve">Philippines (unspecified)</t>
  </si>
  <si>
    <t xml:space="preserve">No distinguishable brand name ("Generic") — routed as category-level market price evidence (rice_price_bracket), not a brand row. NOTE: brand field reads "Generic Sigurado" — verify whether "Sigurado" is an actual distinct product line (worth a real brand row) before treating as unbranded.</t>
  </si>
  <si>
    <t xml:space="preserve">Japanese Rice</t>
  </si>
  <si>
    <t xml:space="preserve">Vietnam</t>
  </si>
  <si>
    <t xml:space="preserve">No distinguishable brand name ("Generic") — routed as category-level market price evidence (rice_price_bracket), not a brand row. NOTE: variety says "Japanese Rice" but origin says Vietnam — likely a source data mismatch, verify at re-canvass.</t>
  </si>
  <si>
    <t xml:space="preserve">Held out — do not seed yet</t>
  </si>
  <si>
    <t xml:space="preserve">Rice Variety</t>
  </si>
  <si>
    <t xml:space="preserve">Grading Scale (raw)</t>
  </si>
  <si>
    <t xml:space="preserve">Reason held</t>
  </si>
  <si>
    <t xml:space="preserve">Farmer Choice</t>
  </si>
  <si>
    <t xml:space="preserve">100% Whole Grain</t>
  </si>
  <si>
    <t xml:space="preserve">No Price per Kilo recorded — cannot seed a display price; needs a market check before inclusion.</t>
  </si>
  <si>
    <t xml:space="preserve">Bagong Ani</t>
  </si>
  <si>
    <t xml:space="preserve">No Brand</t>
  </si>
  <si>
    <t xml:space="preserve">Grading Scale = "Unknown" and Rice Variety = "No Brand" — contradictory row; cannot assign to any of the 8 categories until re-verified.</t>
  </si>
  <si>
    <t xml:space="preserve">Brand coverage across the 8 canonical categories</t>
  </si>
  <si>
    <t xml:space="preserve">Imported Well-Milled and Imported Regular-Milled filled by user-provided brands (Master Chef, Akira). Local Well-Milled remains the one open gap.</t>
  </si>
  <si>
    <t xml:space="preserve">Canonical Key</t>
  </si>
  <si>
    <t xml:space="preserve">Brands Mapped</t>
  </si>
  <si>
    <t xml:space="preserve">Status</t>
  </si>
  <si>
    <t xml:space="preserve">locSpecial</t>
  </si>
  <si>
    <t xml:space="preserve">Local Special</t>
  </si>
  <si>
    <t xml:space="preserve">7 brand(s) mapped</t>
  </si>
  <si>
    <t xml:space="preserve">locPremium</t>
  </si>
  <si>
    <t xml:space="preserve">Local Premium</t>
  </si>
  <si>
    <t xml:space="preserve">14 brand(s) mapped</t>
  </si>
  <si>
    <t xml:space="preserve">locWellMilled</t>
  </si>
  <si>
    <t xml:space="preserve">Local Well-Milled</t>
  </si>
  <si>
    <t xml:space="preserve">No branded product yet — shown as empty state; commodity-grade tier, per DA labeling rule.</t>
  </si>
  <si>
    <t xml:space="preserve">locRegular</t>
  </si>
  <si>
    <t xml:space="preserve">Local Regular-Milled</t>
  </si>
  <si>
    <t xml:space="preserve">6 brand(s) mapped</t>
  </si>
  <si>
    <t xml:space="preserve">impSpecial</t>
  </si>
  <si>
    <t xml:space="preserve">Imported Special</t>
  </si>
  <si>
    <t xml:space="preserve">3 brand(s) mapped</t>
  </si>
  <si>
    <t xml:space="preserve">impPremium</t>
  </si>
  <si>
    <t xml:space="preserve">Imported Premium</t>
  </si>
  <si>
    <t xml:space="preserve">4 brand(s) mapped</t>
  </si>
  <si>
    <t xml:space="preserve">impWellMilled</t>
  </si>
  <si>
    <t xml:space="preserve">Imported Well-Milled</t>
  </si>
  <si>
    <t xml:space="preserve">1 brand(s) mapped</t>
  </si>
  <si>
    <t xml:space="preserve">impRegular</t>
  </si>
  <si>
    <t xml:space="preserve">Imported Regular-Milled</t>
  </si>
  <si>
    <t xml:space="preserve">30-Day Price Log — Rice Brands (for canvassing / manual price entry)</t>
  </si>
  <si>
    <t xml:space="preserve">Fill in the YELLOW cells (Day 2 onward) as you canvass each day. Day 1 is pre-filled with the reference price from your original survey, so it doubles as the format example. Average / Min / Max / Days Filled calculate automatically — do not type into those columns.</t>
  </si>
  <si>
    <t xml:space="preserve">Legend:</t>
  </si>
  <si>
    <t xml:space="preserve">Blue = Day 1, pre-filled from survey (reference/example)</t>
  </si>
  <si>
    <t xml:space="preserve">Yellow = you fill this in daily</t>
  </si>
  <si>
    <t xml:space="preserve">Green = auto-calculated, do not edit</t>
  </si>
  <si>
    <t xml:space="preserve">Day 1
Sep 04</t>
  </si>
  <si>
    <t xml:space="preserve">Day 2
Sep 05</t>
  </si>
  <si>
    <t xml:space="preserve">Day 3
Sep 06</t>
  </si>
  <si>
    <t xml:space="preserve">Day 4
Sep 07</t>
  </si>
  <si>
    <t xml:space="preserve">Day 5
Sep 08</t>
  </si>
  <si>
    <t xml:space="preserve">Day 6
Sep 09</t>
  </si>
  <si>
    <t xml:space="preserve">Day 7
Sep 10</t>
  </si>
  <si>
    <t xml:space="preserve">Day 8
Sep 11</t>
  </si>
  <si>
    <t xml:space="preserve">Day 9
Sep 12</t>
  </si>
  <si>
    <t xml:space="preserve">Day 10
Sep 13</t>
  </si>
  <si>
    <t xml:space="preserve">Day 11
Sep 14</t>
  </si>
  <si>
    <t xml:space="preserve">Day 12
Sep 15</t>
  </si>
  <si>
    <t xml:space="preserve">Day 13
Sep 16</t>
  </si>
  <si>
    <t xml:space="preserve">Day 14
Sep 17</t>
  </si>
  <si>
    <t xml:space="preserve">Day 15
Sep 18</t>
  </si>
  <si>
    <t xml:space="preserve">Day 16
Sep 19</t>
  </si>
  <si>
    <t xml:space="preserve">Day 17
Sep 20</t>
  </si>
  <si>
    <t xml:space="preserve">Day 18
Sep 21</t>
  </si>
  <si>
    <t xml:space="preserve">Day 19
Sep 22</t>
  </si>
  <si>
    <t xml:space="preserve">Day 20
Sep 23</t>
  </si>
  <si>
    <t xml:space="preserve">Day 21
Sep 24</t>
  </si>
  <si>
    <t xml:space="preserve">Day 22
Sep 25</t>
  </si>
  <si>
    <t xml:space="preserve">Day 23
Sep 26</t>
  </si>
  <si>
    <t xml:space="preserve">Day 24
Sep 27</t>
  </si>
  <si>
    <t xml:space="preserve">Day 25
Sep 28</t>
  </si>
  <si>
    <t xml:space="preserve">Day 26
Sep 29</t>
  </si>
  <si>
    <t xml:space="preserve">Day 27
Sep 30</t>
  </si>
  <si>
    <t xml:space="preserve">Day 28
Oct 01</t>
  </si>
  <si>
    <t xml:space="preserve">Day 29
Oct 02</t>
  </si>
  <si>
    <t xml:space="preserve">Day 30
Oct 03</t>
  </si>
  <si>
    <t xml:space="preserve">Average (₱)</t>
  </si>
  <si>
    <t xml:space="preserve">Min (₱)</t>
  </si>
  <si>
    <t xml:space="preserve">Max (₱)</t>
  </si>
  <si>
    <t xml:space="preserve">Days Filled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</si>
</sst>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₱#,##0.00"/>
    <numFmt numFmtId="166" formatCode="#,##0.00"/>
    <numFmt numFmtId="167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1B1B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9"/>
      <name val="Arial"/>
      <family val="0"/>
      <charset val="1"/>
    </font>
    <font>
      <sz val="9"/>
      <color rgb="FF333333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D6A4F"/>
        <bgColor rgb="FF555555"/>
      </patternFill>
    </fill>
    <fill>
      <patternFill patternType="solid">
        <fgColor rgb="FFE7F0FA"/>
        <bgColor rgb="FFE8F3EC"/>
      </patternFill>
    </fill>
    <fill>
      <patternFill patternType="solid">
        <fgColor rgb="FFE8F3EC"/>
        <bgColor rgb="FFE7F0FA"/>
      </patternFill>
    </fill>
    <fill>
      <patternFill patternType="solid">
        <fgColor rgb="FFF1E9F7"/>
        <bgColor rgb="FFF0EFEA"/>
      </patternFill>
    </fill>
    <fill>
      <patternFill patternType="solid">
        <fgColor rgb="FFF0EFEA"/>
        <bgColor rgb="FFE8F3EC"/>
      </patternFill>
    </fill>
    <fill>
      <patternFill patternType="solid">
        <fgColor rgb="FFFFF6D9"/>
        <bgColor rgb="FFF0EFE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D6A4F"/>
      <rgbColor rgb="FFC0C0C0"/>
      <rgbColor rgb="FF808080"/>
      <rgbColor rgb="FF9999FF"/>
      <rgbColor rgb="FF993366"/>
      <rgbColor rgb="FFFFF6D9"/>
      <rgbColor rgb="FFE7F0F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3EC"/>
      <rgbColor rgb="FFF0EFEA"/>
      <rgbColor rgb="FFF1E9F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1B1B1B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34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26"/>
    <col collapsed="false" customWidth="true" hidden="false" outlineLevel="0" max="8" min="8" style="0" width="22"/>
    <col collapsed="false" customWidth="true" hidden="false" outlineLevel="0" max="9" min="9" style="0" width="30"/>
    <col collapsed="false" customWidth="true" hidden="false" outlineLevel="0" max="10" min="10" style="0" width="60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46.25" hidden="false" customHeight="false" outlineLevel="0" collapsed="false">
      <c r="A5" s="4" t="s">
        <v>12</v>
      </c>
      <c r="B5" s="4" t="s">
        <v>13</v>
      </c>
      <c r="C5" s="4" t="s">
        <v>14</v>
      </c>
      <c r="D5" s="5" t="s">
        <v>15</v>
      </c>
      <c r="E5" s="4" t="n">
        <v>2</v>
      </c>
      <c r="F5" s="4" t="s">
        <v>16</v>
      </c>
      <c r="G5" s="4" t="s">
        <v>17</v>
      </c>
      <c r="H5" s="4" t="s">
        <v>18</v>
      </c>
      <c r="I5" s="4" t="s">
        <v>19</v>
      </c>
      <c r="J5" s="5" t="s">
        <v>20</v>
      </c>
    </row>
    <row r="6" customFormat="false" ht="46.25" hidden="false" customHeight="false" outlineLevel="0" collapsed="false">
      <c r="A6" s="4" t="s">
        <v>12</v>
      </c>
      <c r="B6" s="4" t="s">
        <v>13</v>
      </c>
      <c r="C6" s="4" t="s">
        <v>21</v>
      </c>
      <c r="D6" s="5" t="s">
        <v>22</v>
      </c>
      <c r="E6" s="4" t="n">
        <v>7</v>
      </c>
      <c r="F6" s="4" t="s">
        <v>23</v>
      </c>
      <c r="G6" s="4" t="s">
        <v>24</v>
      </c>
      <c r="H6" s="4" t="s">
        <v>18</v>
      </c>
      <c r="I6" s="4" t="s">
        <v>19</v>
      </c>
      <c r="J6" s="5" t="s">
        <v>25</v>
      </c>
    </row>
    <row r="7" customFormat="false" ht="46.25" hidden="false" customHeight="false" outlineLevel="0" collapsed="false">
      <c r="A7" s="4" t="s">
        <v>12</v>
      </c>
      <c r="B7" s="4" t="s">
        <v>13</v>
      </c>
      <c r="C7" s="4" t="s">
        <v>26</v>
      </c>
      <c r="D7" s="5" t="s">
        <v>27</v>
      </c>
      <c r="E7" s="4" t="n">
        <v>2</v>
      </c>
      <c r="F7" s="4" t="s">
        <v>28</v>
      </c>
      <c r="G7" s="4" t="s">
        <v>29</v>
      </c>
      <c r="H7" s="4" t="s">
        <v>18</v>
      </c>
      <c r="I7" s="4" t="s">
        <v>19</v>
      </c>
      <c r="J7" s="5" t="s">
        <v>20</v>
      </c>
    </row>
    <row r="8" customFormat="false" ht="15" hidden="false" customHeight="false" outlineLevel="0" collapsed="false">
      <c r="A8" s="6" t="s">
        <v>12</v>
      </c>
      <c r="B8" s="6" t="s">
        <v>13</v>
      </c>
      <c r="C8" s="6" t="s">
        <v>30</v>
      </c>
      <c r="D8" s="7" t="s">
        <v>31</v>
      </c>
      <c r="E8" s="6" t="n">
        <v>1</v>
      </c>
      <c r="F8" s="6" t="s">
        <v>32</v>
      </c>
      <c r="G8" s="6" t="s">
        <v>33</v>
      </c>
      <c r="H8" s="6" t="s">
        <v>18</v>
      </c>
      <c r="I8" s="6" t="s">
        <v>19</v>
      </c>
      <c r="J8" s="7" t="s">
        <v>34</v>
      </c>
    </row>
    <row r="9" customFormat="false" ht="15" hidden="false" customHeight="false" outlineLevel="0" collapsed="false">
      <c r="A9" s="6" t="s">
        <v>12</v>
      </c>
      <c r="B9" s="6" t="s">
        <v>13</v>
      </c>
      <c r="C9" s="6" t="s">
        <v>35</v>
      </c>
      <c r="D9" s="7" t="s">
        <v>36</v>
      </c>
      <c r="E9" s="6" t="n">
        <v>1</v>
      </c>
      <c r="F9" s="6" t="s">
        <v>37</v>
      </c>
      <c r="G9" s="6" t="s">
        <v>38</v>
      </c>
      <c r="H9" s="6" t="s">
        <v>18</v>
      </c>
      <c r="I9" s="6" t="s">
        <v>19</v>
      </c>
      <c r="J9" s="7" t="s">
        <v>34</v>
      </c>
    </row>
    <row r="10" customFormat="false" ht="15" hidden="false" customHeight="false" outlineLevel="0" collapsed="false">
      <c r="A10" s="6" t="s">
        <v>12</v>
      </c>
      <c r="B10" s="6" t="s">
        <v>13</v>
      </c>
      <c r="C10" s="6" t="s">
        <v>39</v>
      </c>
      <c r="D10" s="7" t="s">
        <v>36</v>
      </c>
      <c r="E10" s="6" t="n">
        <v>1</v>
      </c>
      <c r="F10" s="6" t="s">
        <v>40</v>
      </c>
      <c r="G10" s="6" t="s">
        <v>41</v>
      </c>
      <c r="H10" s="6" t="s">
        <v>18</v>
      </c>
      <c r="I10" s="6" t="s">
        <v>19</v>
      </c>
      <c r="J10" s="7" t="s">
        <v>34</v>
      </c>
    </row>
    <row r="11" customFormat="false" ht="15" hidden="false" customHeight="false" outlineLevel="0" collapsed="false">
      <c r="A11" s="6" t="s">
        <v>12</v>
      </c>
      <c r="B11" s="6" t="s">
        <v>13</v>
      </c>
      <c r="C11" s="6" t="s">
        <v>42</v>
      </c>
      <c r="D11" s="7" t="s">
        <v>43</v>
      </c>
      <c r="E11" s="6" t="n">
        <v>1</v>
      </c>
      <c r="F11" s="6" t="s">
        <v>44</v>
      </c>
      <c r="G11" s="6" t="s">
        <v>24</v>
      </c>
      <c r="H11" s="6" t="s">
        <v>18</v>
      </c>
      <c r="I11" s="6" t="s">
        <v>19</v>
      </c>
      <c r="J11" s="7" t="s">
        <v>34</v>
      </c>
    </row>
    <row r="12" customFormat="false" ht="15" hidden="false" customHeight="false" outlineLevel="0" collapsed="false">
      <c r="A12" s="6" t="s">
        <v>12</v>
      </c>
      <c r="B12" s="6" t="s">
        <v>45</v>
      </c>
      <c r="C12" s="6" t="s">
        <v>46</v>
      </c>
      <c r="D12" s="7" t="s">
        <v>47</v>
      </c>
      <c r="E12" s="6" t="n">
        <v>1</v>
      </c>
      <c r="F12" s="6" t="s">
        <v>48</v>
      </c>
      <c r="G12" s="6" t="s">
        <v>49</v>
      </c>
      <c r="H12" s="6" t="s">
        <v>50</v>
      </c>
      <c r="I12" s="6" t="s">
        <v>19</v>
      </c>
      <c r="J12" s="7" t="s">
        <v>34</v>
      </c>
    </row>
    <row r="13" customFormat="false" ht="15" hidden="false" customHeight="false" outlineLevel="0" collapsed="false">
      <c r="A13" s="6" t="s">
        <v>12</v>
      </c>
      <c r="B13" s="6" t="s">
        <v>45</v>
      </c>
      <c r="C13" s="6" t="s">
        <v>51</v>
      </c>
      <c r="D13" s="7" t="s">
        <v>47</v>
      </c>
      <c r="E13" s="6" t="n">
        <v>1</v>
      </c>
      <c r="F13" s="6" t="s">
        <v>52</v>
      </c>
      <c r="G13" s="6" t="s">
        <v>49</v>
      </c>
      <c r="H13" s="6" t="s">
        <v>50</v>
      </c>
      <c r="I13" s="6" t="s">
        <v>19</v>
      </c>
      <c r="J13" s="7" t="s">
        <v>34</v>
      </c>
    </row>
    <row r="14" customFormat="false" ht="15" hidden="false" customHeight="false" outlineLevel="0" collapsed="false">
      <c r="A14" s="6" t="s">
        <v>12</v>
      </c>
      <c r="B14" s="6" t="s">
        <v>45</v>
      </c>
      <c r="C14" s="6" t="s">
        <v>53</v>
      </c>
      <c r="D14" s="7" t="s">
        <v>53</v>
      </c>
      <c r="E14" s="6" t="n">
        <v>1</v>
      </c>
      <c r="F14" s="6" t="s">
        <v>54</v>
      </c>
      <c r="G14" s="6" t="s">
        <v>49</v>
      </c>
      <c r="H14" s="6" t="s">
        <v>50</v>
      </c>
      <c r="I14" s="6" t="s">
        <v>19</v>
      </c>
      <c r="J14" s="7" t="s">
        <v>34</v>
      </c>
    </row>
    <row r="15" customFormat="false" ht="15" hidden="false" customHeight="false" outlineLevel="0" collapsed="false">
      <c r="A15" s="6" t="s">
        <v>12</v>
      </c>
      <c r="B15" s="6" t="s">
        <v>45</v>
      </c>
      <c r="C15" s="6" t="s">
        <v>55</v>
      </c>
      <c r="D15" s="7" t="s">
        <v>47</v>
      </c>
      <c r="E15" s="6" t="n">
        <v>1</v>
      </c>
      <c r="F15" s="6" t="s">
        <v>56</v>
      </c>
      <c r="G15" s="6" t="s">
        <v>49</v>
      </c>
      <c r="H15" s="6" t="s">
        <v>50</v>
      </c>
      <c r="I15" s="6" t="s">
        <v>19</v>
      </c>
      <c r="J15" s="7" t="s">
        <v>34</v>
      </c>
    </row>
    <row r="16" customFormat="false" ht="15" hidden="false" customHeight="false" outlineLevel="0" collapsed="false">
      <c r="A16" s="6" t="s">
        <v>12</v>
      </c>
      <c r="B16" s="6" t="s">
        <v>45</v>
      </c>
      <c r="C16" s="6" t="s">
        <v>57</v>
      </c>
      <c r="D16" s="7" t="s">
        <v>58</v>
      </c>
      <c r="E16" s="6" t="n">
        <v>1</v>
      </c>
      <c r="F16" s="6" t="s">
        <v>52</v>
      </c>
      <c r="G16" s="6" t="s">
        <v>49</v>
      </c>
      <c r="H16" s="6" t="s">
        <v>50</v>
      </c>
      <c r="I16" s="6" t="s">
        <v>19</v>
      </c>
      <c r="J16" s="7" t="s">
        <v>34</v>
      </c>
    </row>
    <row r="17" customFormat="false" ht="15" hidden="false" customHeight="false" outlineLevel="0" collapsed="false">
      <c r="A17" s="6" t="s">
        <v>12</v>
      </c>
      <c r="B17" s="6" t="s">
        <v>45</v>
      </c>
      <c r="C17" s="6" t="s">
        <v>59</v>
      </c>
      <c r="D17" s="7" t="s">
        <v>60</v>
      </c>
      <c r="E17" s="6" t="n">
        <v>1</v>
      </c>
      <c r="F17" s="6" t="s">
        <v>61</v>
      </c>
      <c r="G17" s="6" t="s">
        <v>49</v>
      </c>
      <c r="H17" s="6" t="s">
        <v>50</v>
      </c>
      <c r="I17" s="6" t="s">
        <v>19</v>
      </c>
      <c r="J17" s="7" t="s">
        <v>34</v>
      </c>
    </row>
    <row r="18" customFormat="false" ht="46.25" hidden="false" customHeight="false" outlineLevel="0" collapsed="false">
      <c r="A18" s="4" t="s">
        <v>12</v>
      </c>
      <c r="B18" s="4" t="s">
        <v>45</v>
      </c>
      <c r="C18" s="4" t="s">
        <v>26</v>
      </c>
      <c r="D18" s="5" t="s">
        <v>62</v>
      </c>
      <c r="E18" s="4" t="n">
        <v>2</v>
      </c>
      <c r="F18" s="4" t="s">
        <v>63</v>
      </c>
      <c r="G18" s="4" t="s">
        <v>29</v>
      </c>
      <c r="H18" s="4" t="s">
        <v>18</v>
      </c>
      <c r="I18" s="4" t="s">
        <v>19</v>
      </c>
      <c r="J18" s="5" t="s">
        <v>20</v>
      </c>
    </row>
    <row r="19" customFormat="false" ht="46.25" hidden="false" customHeight="false" outlineLevel="0" collapsed="false">
      <c r="A19" s="4" t="s">
        <v>12</v>
      </c>
      <c r="B19" s="4" t="s">
        <v>45</v>
      </c>
      <c r="C19" s="4" t="s">
        <v>64</v>
      </c>
      <c r="D19" s="5" t="s">
        <v>65</v>
      </c>
      <c r="E19" s="4" t="n">
        <v>4</v>
      </c>
      <c r="F19" s="4" t="s">
        <v>66</v>
      </c>
      <c r="G19" s="4" t="s">
        <v>24</v>
      </c>
      <c r="H19" s="4" t="s">
        <v>18</v>
      </c>
      <c r="I19" s="4" t="s">
        <v>19</v>
      </c>
      <c r="J19" s="5" t="s">
        <v>67</v>
      </c>
    </row>
    <row r="20" customFormat="false" ht="15" hidden="false" customHeight="false" outlineLevel="0" collapsed="false">
      <c r="A20" s="6" t="s">
        <v>12</v>
      </c>
      <c r="B20" s="6" t="s">
        <v>45</v>
      </c>
      <c r="C20" s="6" t="s">
        <v>68</v>
      </c>
      <c r="D20" s="7" t="s">
        <v>69</v>
      </c>
      <c r="E20" s="6" t="n">
        <v>1</v>
      </c>
      <c r="F20" s="6" t="s">
        <v>52</v>
      </c>
      <c r="G20" s="6" t="s">
        <v>49</v>
      </c>
      <c r="H20" s="6" t="s">
        <v>50</v>
      </c>
      <c r="I20" s="6" t="s">
        <v>19</v>
      </c>
      <c r="J20" s="7" t="s">
        <v>34</v>
      </c>
    </row>
    <row r="21" customFormat="false" ht="15" hidden="false" customHeight="false" outlineLevel="0" collapsed="false">
      <c r="A21" s="6" t="s">
        <v>12</v>
      </c>
      <c r="B21" s="6" t="s">
        <v>45</v>
      </c>
      <c r="C21" s="6" t="s">
        <v>70</v>
      </c>
      <c r="D21" s="7" t="s">
        <v>69</v>
      </c>
      <c r="E21" s="6" t="n">
        <v>1</v>
      </c>
      <c r="F21" s="6" t="s">
        <v>52</v>
      </c>
      <c r="G21" s="6" t="s">
        <v>49</v>
      </c>
      <c r="H21" s="6" t="s">
        <v>50</v>
      </c>
      <c r="I21" s="6" t="s">
        <v>19</v>
      </c>
      <c r="J21" s="7" t="s">
        <v>34</v>
      </c>
    </row>
    <row r="22" customFormat="false" ht="15" hidden="false" customHeight="false" outlineLevel="0" collapsed="false">
      <c r="A22" s="6" t="s">
        <v>12</v>
      </c>
      <c r="B22" s="6" t="s">
        <v>45</v>
      </c>
      <c r="C22" s="6" t="s">
        <v>71</v>
      </c>
      <c r="D22" s="7" t="s">
        <v>72</v>
      </c>
      <c r="E22" s="6" t="n">
        <v>1</v>
      </c>
      <c r="F22" s="6" t="s">
        <v>73</v>
      </c>
      <c r="G22" s="6" t="s">
        <v>49</v>
      </c>
      <c r="H22" s="6" t="s">
        <v>50</v>
      </c>
      <c r="I22" s="6" t="s">
        <v>19</v>
      </c>
      <c r="J22" s="7" t="s">
        <v>34</v>
      </c>
    </row>
    <row r="23" customFormat="false" ht="15" hidden="false" customHeight="false" outlineLevel="0" collapsed="false">
      <c r="A23" s="6" t="s">
        <v>12</v>
      </c>
      <c r="B23" s="6" t="s">
        <v>45</v>
      </c>
      <c r="C23" s="6" t="s">
        <v>74</v>
      </c>
      <c r="D23" s="7" t="s">
        <v>47</v>
      </c>
      <c r="E23" s="6" t="n">
        <v>1</v>
      </c>
      <c r="F23" s="6" t="s">
        <v>48</v>
      </c>
      <c r="G23" s="6" t="s">
        <v>49</v>
      </c>
      <c r="H23" s="6" t="s">
        <v>50</v>
      </c>
      <c r="I23" s="6" t="s">
        <v>19</v>
      </c>
      <c r="J23" s="7" t="s">
        <v>34</v>
      </c>
    </row>
    <row r="24" customFormat="false" ht="15" hidden="false" customHeight="false" outlineLevel="0" collapsed="false">
      <c r="A24" s="6" t="s">
        <v>12</v>
      </c>
      <c r="B24" s="6" t="s">
        <v>45</v>
      </c>
      <c r="C24" s="6" t="s">
        <v>35</v>
      </c>
      <c r="D24" s="7" t="s">
        <v>43</v>
      </c>
      <c r="E24" s="6" t="n">
        <v>1</v>
      </c>
      <c r="F24" s="6" t="s">
        <v>75</v>
      </c>
      <c r="G24" s="6" t="s">
        <v>38</v>
      </c>
      <c r="H24" s="6" t="s">
        <v>18</v>
      </c>
      <c r="I24" s="6" t="s">
        <v>19</v>
      </c>
      <c r="J24" s="7" t="s">
        <v>34</v>
      </c>
    </row>
    <row r="25" customFormat="false" ht="15" hidden="false" customHeight="false" outlineLevel="0" collapsed="false">
      <c r="A25" s="6" t="s">
        <v>12</v>
      </c>
      <c r="B25" s="6" t="s">
        <v>45</v>
      </c>
      <c r="C25" s="6" t="s">
        <v>76</v>
      </c>
      <c r="D25" s="7" t="s">
        <v>77</v>
      </c>
      <c r="E25" s="6" t="n">
        <v>1</v>
      </c>
      <c r="F25" s="6" t="s">
        <v>78</v>
      </c>
      <c r="G25" s="6" t="s">
        <v>24</v>
      </c>
      <c r="H25" s="6" t="s">
        <v>18</v>
      </c>
      <c r="I25" s="6" t="s">
        <v>19</v>
      </c>
      <c r="J25" s="7" t="s">
        <v>34</v>
      </c>
    </row>
    <row r="26" customFormat="false" ht="15" hidden="false" customHeight="false" outlineLevel="0" collapsed="false">
      <c r="A26" s="6" t="s">
        <v>12</v>
      </c>
      <c r="B26" s="6" t="s">
        <v>79</v>
      </c>
      <c r="C26" s="6" t="s">
        <v>80</v>
      </c>
      <c r="D26" s="7" t="s">
        <v>47</v>
      </c>
      <c r="E26" s="6" t="n">
        <v>1</v>
      </c>
      <c r="F26" s="6" t="s">
        <v>81</v>
      </c>
      <c r="G26" s="6" t="s">
        <v>49</v>
      </c>
      <c r="H26" s="6" t="s">
        <v>50</v>
      </c>
      <c r="I26" s="6" t="s">
        <v>19</v>
      </c>
      <c r="J26" s="7" t="s">
        <v>34</v>
      </c>
    </row>
    <row r="27" customFormat="false" ht="15" hidden="false" customHeight="false" outlineLevel="0" collapsed="false">
      <c r="A27" s="6" t="s">
        <v>12</v>
      </c>
      <c r="B27" s="6" t="s">
        <v>79</v>
      </c>
      <c r="C27" s="6" t="s">
        <v>82</v>
      </c>
      <c r="D27" s="7" t="s">
        <v>47</v>
      </c>
      <c r="E27" s="6" t="n">
        <v>1</v>
      </c>
      <c r="F27" s="6" t="s">
        <v>83</v>
      </c>
      <c r="G27" s="6" t="s">
        <v>49</v>
      </c>
      <c r="H27" s="6" t="s">
        <v>50</v>
      </c>
      <c r="I27" s="6" t="s">
        <v>19</v>
      </c>
      <c r="J27" s="7" t="s">
        <v>34</v>
      </c>
    </row>
    <row r="28" customFormat="false" ht="15" hidden="false" customHeight="false" outlineLevel="0" collapsed="false">
      <c r="A28" s="6" t="s">
        <v>12</v>
      </c>
      <c r="B28" s="6" t="s">
        <v>79</v>
      </c>
      <c r="C28" s="6" t="s">
        <v>84</v>
      </c>
      <c r="D28" s="7" t="s">
        <v>47</v>
      </c>
      <c r="E28" s="6" t="n">
        <v>1</v>
      </c>
      <c r="F28" s="6" t="s">
        <v>85</v>
      </c>
      <c r="G28" s="6" t="s">
        <v>49</v>
      </c>
      <c r="H28" s="6" t="s">
        <v>50</v>
      </c>
      <c r="I28" s="6" t="s">
        <v>19</v>
      </c>
      <c r="J28" s="7" t="s">
        <v>34</v>
      </c>
    </row>
    <row r="29" customFormat="false" ht="15" hidden="false" customHeight="false" outlineLevel="0" collapsed="false">
      <c r="A29" s="6" t="s">
        <v>12</v>
      </c>
      <c r="B29" s="6" t="s">
        <v>79</v>
      </c>
      <c r="C29" s="6" t="s">
        <v>86</v>
      </c>
      <c r="D29" s="7" t="s">
        <v>47</v>
      </c>
      <c r="E29" s="6" t="n">
        <v>1</v>
      </c>
      <c r="F29" s="6" t="s">
        <v>85</v>
      </c>
      <c r="G29" s="6" t="s">
        <v>49</v>
      </c>
      <c r="H29" s="6" t="s">
        <v>50</v>
      </c>
      <c r="I29" s="6" t="s">
        <v>19</v>
      </c>
      <c r="J29" s="7" t="s">
        <v>34</v>
      </c>
    </row>
    <row r="30" customFormat="false" ht="15" hidden="false" customHeight="false" outlineLevel="0" collapsed="false">
      <c r="A30" s="6" t="s">
        <v>12</v>
      </c>
      <c r="B30" s="6" t="s">
        <v>79</v>
      </c>
      <c r="C30" s="6" t="s">
        <v>87</v>
      </c>
      <c r="D30" s="7" t="s">
        <v>47</v>
      </c>
      <c r="E30" s="6" t="n">
        <v>1</v>
      </c>
      <c r="F30" s="6" t="s">
        <v>85</v>
      </c>
      <c r="G30" s="6" t="s">
        <v>49</v>
      </c>
      <c r="H30" s="6" t="s">
        <v>50</v>
      </c>
      <c r="I30" s="6" t="s">
        <v>19</v>
      </c>
      <c r="J30" s="7" t="s">
        <v>34</v>
      </c>
    </row>
    <row r="31" customFormat="false" ht="15" hidden="false" customHeight="false" outlineLevel="0" collapsed="false">
      <c r="A31" s="6" t="s">
        <v>12</v>
      </c>
      <c r="B31" s="6" t="s">
        <v>79</v>
      </c>
      <c r="C31" s="6" t="s">
        <v>88</v>
      </c>
      <c r="D31" s="7" t="s">
        <v>89</v>
      </c>
      <c r="E31" s="6" t="n">
        <v>1</v>
      </c>
      <c r="F31" s="6" t="s">
        <v>90</v>
      </c>
      <c r="G31" s="6" t="s">
        <v>49</v>
      </c>
      <c r="H31" s="6" t="s">
        <v>50</v>
      </c>
      <c r="I31" s="6" t="s">
        <v>19</v>
      </c>
      <c r="J31" s="7" t="s">
        <v>34</v>
      </c>
    </row>
    <row r="32" customFormat="false" ht="15" hidden="false" customHeight="false" outlineLevel="0" collapsed="false">
      <c r="A32" s="6" t="s">
        <v>91</v>
      </c>
      <c r="B32" s="6" t="s">
        <v>92</v>
      </c>
      <c r="C32" s="6" t="s">
        <v>93</v>
      </c>
      <c r="D32" s="7" t="s">
        <v>94</v>
      </c>
      <c r="E32" s="6" t="n">
        <v>1</v>
      </c>
      <c r="F32" s="6" t="s">
        <v>95</v>
      </c>
      <c r="G32" s="6" t="s">
        <v>96</v>
      </c>
      <c r="H32" s="6" t="s">
        <v>18</v>
      </c>
      <c r="I32" s="6" t="s">
        <v>19</v>
      </c>
      <c r="J32" s="7" t="s">
        <v>34</v>
      </c>
    </row>
    <row r="33" customFormat="false" ht="15" hidden="false" customHeight="false" outlineLevel="0" collapsed="false">
      <c r="A33" s="6" t="s">
        <v>91</v>
      </c>
      <c r="B33" s="6" t="s">
        <v>92</v>
      </c>
      <c r="C33" s="6" t="s">
        <v>26</v>
      </c>
      <c r="D33" s="7" t="s">
        <v>94</v>
      </c>
      <c r="E33" s="6" t="n">
        <v>1</v>
      </c>
      <c r="F33" s="6" t="s">
        <v>97</v>
      </c>
      <c r="G33" s="6" t="s">
        <v>96</v>
      </c>
      <c r="H33" s="6" t="s">
        <v>18</v>
      </c>
      <c r="I33" s="6" t="s">
        <v>19</v>
      </c>
      <c r="J33" s="7" t="s">
        <v>34</v>
      </c>
    </row>
    <row r="34" customFormat="false" ht="15" hidden="false" customHeight="false" outlineLevel="0" collapsed="false">
      <c r="A34" s="6" t="s">
        <v>91</v>
      </c>
      <c r="B34" s="6" t="s">
        <v>92</v>
      </c>
      <c r="C34" s="6" t="s">
        <v>98</v>
      </c>
      <c r="D34" s="7" t="s">
        <v>99</v>
      </c>
      <c r="E34" s="6" t="n">
        <v>1</v>
      </c>
      <c r="F34" s="6" t="s">
        <v>100</v>
      </c>
      <c r="G34" s="6" t="s">
        <v>96</v>
      </c>
      <c r="H34" s="6" t="s">
        <v>18</v>
      </c>
      <c r="I34" s="6" t="s">
        <v>19</v>
      </c>
      <c r="J34" s="7" t="s">
        <v>34</v>
      </c>
    </row>
    <row r="35" customFormat="false" ht="15" hidden="false" customHeight="false" outlineLevel="0" collapsed="false">
      <c r="A35" s="6" t="s">
        <v>91</v>
      </c>
      <c r="B35" s="6" t="s">
        <v>101</v>
      </c>
      <c r="C35" s="6" t="s">
        <v>102</v>
      </c>
      <c r="D35" s="7" t="s">
        <v>103</v>
      </c>
      <c r="E35" s="6" t="n">
        <v>1</v>
      </c>
      <c r="F35" s="6" t="s">
        <v>104</v>
      </c>
      <c r="G35" s="6" t="s">
        <v>24</v>
      </c>
      <c r="H35" s="6" t="s">
        <v>18</v>
      </c>
      <c r="I35" s="6" t="s">
        <v>19</v>
      </c>
      <c r="J35" s="7" t="s">
        <v>34</v>
      </c>
    </row>
    <row r="36" customFormat="false" ht="15" hidden="false" customHeight="false" outlineLevel="0" collapsed="false">
      <c r="A36" s="6" t="s">
        <v>91</v>
      </c>
      <c r="B36" s="6" t="s">
        <v>101</v>
      </c>
      <c r="C36" s="6" t="s">
        <v>105</v>
      </c>
      <c r="D36" s="7" t="s">
        <v>106</v>
      </c>
      <c r="E36" s="6" t="n">
        <v>1</v>
      </c>
      <c r="F36" s="6" t="s">
        <v>54</v>
      </c>
      <c r="G36" s="6" t="s">
        <v>96</v>
      </c>
      <c r="H36" s="6" t="s">
        <v>50</v>
      </c>
      <c r="I36" s="6" t="s">
        <v>19</v>
      </c>
      <c r="J36" s="7" t="s">
        <v>34</v>
      </c>
    </row>
    <row r="37" customFormat="false" ht="15" hidden="false" customHeight="false" outlineLevel="0" collapsed="false">
      <c r="A37" s="6" t="s">
        <v>91</v>
      </c>
      <c r="B37" s="6" t="s">
        <v>101</v>
      </c>
      <c r="C37" s="6" t="s">
        <v>107</v>
      </c>
      <c r="D37" s="7" t="s">
        <v>108</v>
      </c>
      <c r="E37" s="6" t="n">
        <v>1</v>
      </c>
      <c r="F37" s="6" t="s">
        <v>54</v>
      </c>
      <c r="G37" s="6" t="s">
        <v>96</v>
      </c>
      <c r="H37" s="6" t="s">
        <v>50</v>
      </c>
      <c r="I37" s="6" t="s">
        <v>19</v>
      </c>
      <c r="J37" s="7" t="s">
        <v>34</v>
      </c>
    </row>
    <row r="38" customFormat="false" ht="15" hidden="false" customHeight="false" outlineLevel="0" collapsed="false">
      <c r="A38" s="6" t="s">
        <v>91</v>
      </c>
      <c r="B38" s="6" t="s">
        <v>101</v>
      </c>
      <c r="C38" s="6" t="s">
        <v>109</v>
      </c>
      <c r="D38" s="7" t="s">
        <v>106</v>
      </c>
      <c r="E38" s="6" t="n">
        <v>1</v>
      </c>
      <c r="F38" s="6" t="s">
        <v>54</v>
      </c>
      <c r="G38" s="6" t="s">
        <v>96</v>
      </c>
      <c r="H38" s="6" t="s">
        <v>50</v>
      </c>
      <c r="I38" s="6" t="s">
        <v>19</v>
      </c>
      <c r="J38" s="7" t="s">
        <v>34</v>
      </c>
    </row>
    <row r="39" customFormat="false" ht="57.45" hidden="false" customHeight="false" outlineLevel="0" collapsed="false">
      <c r="A39" s="8" t="s">
        <v>91</v>
      </c>
      <c r="B39" s="8" t="s">
        <v>110</v>
      </c>
      <c r="C39" s="8" t="s">
        <v>102</v>
      </c>
      <c r="D39" s="9" t="s">
        <v>111</v>
      </c>
      <c r="E39" s="8" t="n">
        <v>1</v>
      </c>
      <c r="F39" s="8" t="s">
        <v>112</v>
      </c>
      <c r="G39" s="8" t="s">
        <v>113</v>
      </c>
      <c r="H39" s="8" t="s">
        <v>114</v>
      </c>
      <c r="I39" s="8" t="s">
        <v>19</v>
      </c>
      <c r="J39" s="9" t="s">
        <v>115</v>
      </c>
    </row>
    <row r="40" customFormat="false" ht="23.85" hidden="false" customHeight="false" outlineLevel="0" collapsed="false">
      <c r="A40" s="8" t="s">
        <v>91</v>
      </c>
      <c r="B40" s="8" t="s">
        <v>116</v>
      </c>
      <c r="C40" s="8" t="s">
        <v>117</v>
      </c>
      <c r="D40" s="9" t="s">
        <v>118</v>
      </c>
      <c r="E40" s="8" t="n">
        <v>1</v>
      </c>
      <c r="F40" s="8" t="s">
        <v>48</v>
      </c>
      <c r="G40" s="8" t="s">
        <v>113</v>
      </c>
      <c r="H40" s="8" t="s">
        <v>114</v>
      </c>
      <c r="I40" s="8" t="s">
        <v>19</v>
      </c>
      <c r="J40" s="9" t="s">
        <v>119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6"/>
    <col collapsed="false" customWidth="true" hidden="false" outlineLevel="0" max="3" min="3" style="0" width="40"/>
    <col collapsed="false" customWidth="true" hidden="false" outlineLevel="0" max="4" min="4" style="0" width="16"/>
  </cols>
  <sheetData>
    <row r="1" customFormat="false" ht="17.35" hidden="false" customHeight="false" outlineLevel="0" collapsed="false">
      <c r="A1" s="1" t="s">
        <v>120</v>
      </c>
      <c r="B1" s="1"/>
      <c r="C1" s="1"/>
      <c r="D1" s="1"/>
    </row>
    <row r="2" customFormat="false" ht="15" hidden="false" customHeight="false" outlineLevel="0" collapsed="false">
      <c r="A2" s="2" t="s">
        <v>121</v>
      </c>
      <c r="B2" s="2"/>
      <c r="C2" s="2"/>
      <c r="D2" s="2"/>
    </row>
    <row r="4" customFormat="false" ht="15" hidden="false" customHeight="false" outlineLevel="0" collapsed="false">
      <c r="A4" s="3" t="s">
        <v>122</v>
      </c>
      <c r="B4" s="3" t="s">
        <v>123</v>
      </c>
      <c r="C4" s="3" t="s">
        <v>124</v>
      </c>
      <c r="D4" s="3" t="s">
        <v>7</v>
      </c>
    </row>
    <row r="5" customFormat="false" ht="15" hidden="false" customHeight="false" outlineLevel="0" collapsed="false">
      <c r="A5" s="10" t="s">
        <v>26</v>
      </c>
      <c r="B5" s="10" t="s">
        <v>45</v>
      </c>
      <c r="C5" s="10" t="s">
        <v>125</v>
      </c>
      <c r="D5" s="11" t="n">
        <v>101</v>
      </c>
    </row>
    <row r="6" customFormat="false" ht="15" hidden="false" customHeight="false" outlineLevel="0" collapsed="false">
      <c r="A6" s="10" t="s">
        <v>26</v>
      </c>
      <c r="B6" s="10" t="s">
        <v>45</v>
      </c>
      <c r="C6" s="10" t="s">
        <v>43</v>
      </c>
      <c r="D6" s="11" t="n">
        <v>80</v>
      </c>
    </row>
    <row r="7" customFormat="false" ht="15" hidden="false" customHeight="false" outlineLevel="0" collapsed="false">
      <c r="A7" s="10" t="s">
        <v>64</v>
      </c>
      <c r="B7" s="10" t="s">
        <v>45</v>
      </c>
      <c r="C7" s="10" t="s">
        <v>126</v>
      </c>
      <c r="D7" s="11" t="n">
        <v>109.5</v>
      </c>
    </row>
    <row r="8" customFormat="false" ht="15" hidden="false" customHeight="false" outlineLevel="0" collapsed="false">
      <c r="A8" s="10" t="s">
        <v>64</v>
      </c>
      <c r="B8" s="10" t="s">
        <v>45</v>
      </c>
      <c r="C8" s="10" t="s">
        <v>125</v>
      </c>
      <c r="D8" s="11" t="n">
        <v>94.5</v>
      </c>
    </row>
    <row r="9" customFormat="false" ht="15" hidden="false" customHeight="false" outlineLevel="0" collapsed="false">
      <c r="A9" s="10" t="s">
        <v>64</v>
      </c>
      <c r="B9" s="10" t="s">
        <v>45</v>
      </c>
      <c r="C9" s="10" t="s">
        <v>127</v>
      </c>
      <c r="D9" s="11" t="n">
        <v>85</v>
      </c>
    </row>
    <row r="10" customFormat="false" ht="15" hidden="false" customHeight="false" outlineLevel="0" collapsed="false">
      <c r="A10" s="10" t="s">
        <v>64</v>
      </c>
      <c r="B10" s="10" t="s">
        <v>45</v>
      </c>
      <c r="C10" s="10" t="s">
        <v>31</v>
      </c>
      <c r="D10" s="11" t="n">
        <v>104.5</v>
      </c>
    </row>
    <row r="11" customFormat="false" ht="15" hidden="false" customHeight="false" outlineLevel="0" collapsed="false">
      <c r="A11" s="10" t="s">
        <v>14</v>
      </c>
      <c r="B11" s="10" t="s">
        <v>13</v>
      </c>
      <c r="C11" s="10" t="s">
        <v>128</v>
      </c>
      <c r="D11" s="11" t="n">
        <v>130</v>
      </c>
    </row>
    <row r="12" customFormat="false" ht="15" hidden="false" customHeight="false" outlineLevel="0" collapsed="false">
      <c r="A12" s="10" t="s">
        <v>14</v>
      </c>
      <c r="B12" s="10" t="s">
        <v>13</v>
      </c>
      <c r="C12" s="10" t="s">
        <v>129</v>
      </c>
      <c r="D12" s="11" t="n">
        <v>129</v>
      </c>
    </row>
    <row r="13" customFormat="false" ht="15" hidden="false" customHeight="false" outlineLevel="0" collapsed="false">
      <c r="A13" s="10" t="s">
        <v>21</v>
      </c>
      <c r="B13" s="10" t="s">
        <v>13</v>
      </c>
      <c r="C13" s="10" t="s">
        <v>36</v>
      </c>
      <c r="D13" s="11" t="n">
        <v>61</v>
      </c>
    </row>
    <row r="14" customFormat="false" ht="15" hidden="false" customHeight="false" outlineLevel="0" collapsed="false">
      <c r="A14" s="10" t="s">
        <v>21</v>
      </c>
      <c r="B14" s="10" t="s">
        <v>13</v>
      </c>
      <c r="C14" s="10" t="s">
        <v>130</v>
      </c>
      <c r="D14" s="11" t="n">
        <v>59</v>
      </c>
    </row>
    <row r="15" customFormat="false" ht="15" hidden="false" customHeight="false" outlineLevel="0" collapsed="false">
      <c r="A15" s="10" t="s">
        <v>21</v>
      </c>
      <c r="B15" s="10" t="s">
        <v>13</v>
      </c>
      <c r="C15" s="10" t="s">
        <v>131</v>
      </c>
      <c r="D15" s="11" t="n">
        <v>60</v>
      </c>
    </row>
    <row r="16" customFormat="false" ht="15" hidden="false" customHeight="false" outlineLevel="0" collapsed="false">
      <c r="A16" s="10" t="s">
        <v>21</v>
      </c>
      <c r="B16" s="10" t="s">
        <v>13</v>
      </c>
      <c r="C16" s="10" t="s">
        <v>69</v>
      </c>
      <c r="D16" s="11" t="n">
        <v>66</v>
      </c>
    </row>
    <row r="17" customFormat="false" ht="15" hidden="false" customHeight="false" outlineLevel="0" collapsed="false">
      <c r="A17" s="10" t="s">
        <v>21</v>
      </c>
      <c r="B17" s="10" t="s">
        <v>13</v>
      </c>
      <c r="C17" s="10" t="s">
        <v>132</v>
      </c>
      <c r="D17" s="11" t="n">
        <v>59</v>
      </c>
    </row>
    <row r="18" customFormat="false" ht="15" hidden="false" customHeight="false" outlineLevel="0" collapsed="false">
      <c r="A18" s="10" t="s">
        <v>21</v>
      </c>
      <c r="B18" s="10" t="s">
        <v>13</v>
      </c>
      <c r="C18" s="10" t="s">
        <v>133</v>
      </c>
      <c r="D18" s="11" t="n">
        <v>65</v>
      </c>
    </row>
    <row r="19" customFormat="false" ht="15" hidden="false" customHeight="false" outlineLevel="0" collapsed="false">
      <c r="A19" s="10" t="s">
        <v>21</v>
      </c>
      <c r="B19" s="10" t="s">
        <v>13</v>
      </c>
      <c r="C19" s="10" t="s">
        <v>134</v>
      </c>
      <c r="D19" s="11" t="n">
        <v>57</v>
      </c>
    </row>
    <row r="20" customFormat="false" ht="15" hidden="false" customHeight="false" outlineLevel="0" collapsed="false">
      <c r="A20" s="10" t="s">
        <v>26</v>
      </c>
      <c r="B20" s="10" t="s">
        <v>13</v>
      </c>
      <c r="C20" s="10" t="s">
        <v>36</v>
      </c>
      <c r="D20" s="11" t="n">
        <v>103</v>
      </c>
    </row>
    <row r="21" customFormat="false" ht="15" hidden="false" customHeight="false" outlineLevel="0" collapsed="false">
      <c r="A21" s="10" t="s">
        <v>26</v>
      </c>
      <c r="B21" s="10" t="s">
        <v>13</v>
      </c>
      <c r="C21" s="10" t="s">
        <v>135</v>
      </c>
      <c r="D21" s="11" t="n">
        <v>54.5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26"/>
    <col collapsed="false" customWidth="true" hidden="false" outlineLevel="0" max="6" min="6" style="0" width="12"/>
    <col collapsed="false" customWidth="true" hidden="false" outlineLevel="0" max="7" min="7" style="0" width="60"/>
  </cols>
  <sheetData>
    <row r="1" customFormat="false" ht="17.35" hidden="false" customHeight="false" outlineLevel="0" collapsed="false">
      <c r="A1" s="1" t="s">
        <v>136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137</v>
      </c>
      <c r="B2" s="2"/>
      <c r="C2" s="2"/>
      <c r="D2" s="2"/>
      <c r="E2" s="2"/>
      <c r="F2" s="2"/>
      <c r="G2" s="2"/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138</v>
      </c>
      <c r="D4" s="3" t="s">
        <v>7</v>
      </c>
      <c r="E4" s="3" t="s">
        <v>8</v>
      </c>
      <c r="F4" s="3" t="s">
        <v>9</v>
      </c>
      <c r="G4" s="3" t="s">
        <v>11</v>
      </c>
    </row>
    <row r="5" customFormat="false" ht="23.85" hidden="false" customHeight="false" outlineLevel="0" collapsed="false">
      <c r="A5" s="12" t="s">
        <v>12</v>
      </c>
      <c r="B5" s="12" t="s">
        <v>13</v>
      </c>
      <c r="C5" s="12" t="s">
        <v>43</v>
      </c>
      <c r="D5" s="13" t="n">
        <v>68</v>
      </c>
      <c r="E5" s="12" t="s">
        <v>49</v>
      </c>
      <c r="F5" s="12" t="s">
        <v>50</v>
      </c>
      <c r="G5" s="14" t="s">
        <v>139</v>
      </c>
    </row>
    <row r="6" customFormat="false" ht="23.85" hidden="false" customHeight="false" outlineLevel="0" collapsed="false">
      <c r="A6" s="12" t="s">
        <v>12</v>
      </c>
      <c r="B6" s="12" t="s">
        <v>45</v>
      </c>
      <c r="C6" s="12" t="s">
        <v>36</v>
      </c>
      <c r="D6" s="13" t="n">
        <v>72</v>
      </c>
      <c r="E6" s="12" t="s">
        <v>49</v>
      </c>
      <c r="F6" s="12" t="s">
        <v>50</v>
      </c>
      <c r="G6" s="14" t="s">
        <v>139</v>
      </c>
    </row>
    <row r="7" customFormat="false" ht="23.85" hidden="false" customHeight="false" outlineLevel="0" collapsed="false">
      <c r="A7" s="12" t="s">
        <v>12</v>
      </c>
      <c r="B7" s="12" t="s">
        <v>45</v>
      </c>
      <c r="C7" s="12" t="s">
        <v>69</v>
      </c>
      <c r="D7" s="13" t="n">
        <v>70</v>
      </c>
      <c r="E7" s="12" t="s">
        <v>49</v>
      </c>
      <c r="F7" s="12" t="s">
        <v>50</v>
      </c>
      <c r="G7" s="14" t="s">
        <v>139</v>
      </c>
    </row>
    <row r="8" customFormat="false" ht="23.85" hidden="false" customHeight="false" outlineLevel="0" collapsed="false">
      <c r="A8" s="12" t="s">
        <v>12</v>
      </c>
      <c r="B8" s="12" t="s">
        <v>45</v>
      </c>
      <c r="C8" s="12" t="s">
        <v>47</v>
      </c>
      <c r="D8" s="13" t="n">
        <v>50</v>
      </c>
      <c r="E8" s="12" t="s">
        <v>49</v>
      </c>
      <c r="F8" s="12" t="s">
        <v>50</v>
      </c>
      <c r="G8" s="14" t="s">
        <v>139</v>
      </c>
    </row>
    <row r="9" customFormat="false" ht="23.85" hidden="false" customHeight="false" outlineLevel="0" collapsed="false">
      <c r="A9" s="12" t="s">
        <v>12</v>
      </c>
      <c r="B9" s="12" t="s">
        <v>45</v>
      </c>
      <c r="C9" s="12" t="s">
        <v>47</v>
      </c>
      <c r="D9" s="13" t="n">
        <v>50</v>
      </c>
      <c r="E9" s="12" t="s">
        <v>49</v>
      </c>
      <c r="F9" s="12" t="s">
        <v>50</v>
      </c>
      <c r="G9" s="14" t="s">
        <v>139</v>
      </c>
    </row>
    <row r="10" customFormat="false" ht="23.85" hidden="false" customHeight="false" outlineLevel="0" collapsed="false">
      <c r="A10" s="12" t="s">
        <v>12</v>
      </c>
      <c r="B10" s="12" t="s">
        <v>45</v>
      </c>
      <c r="C10" s="12" t="s">
        <v>47</v>
      </c>
      <c r="D10" s="13" t="n">
        <v>51</v>
      </c>
      <c r="E10" s="12" t="s">
        <v>49</v>
      </c>
      <c r="F10" s="12" t="s">
        <v>50</v>
      </c>
      <c r="G10" s="14" t="s">
        <v>139</v>
      </c>
    </row>
    <row r="11" customFormat="false" ht="23.85" hidden="false" customHeight="false" outlineLevel="0" collapsed="false">
      <c r="A11" s="12" t="s">
        <v>12</v>
      </c>
      <c r="B11" s="12" t="s">
        <v>45</v>
      </c>
      <c r="C11" s="12" t="s">
        <v>47</v>
      </c>
      <c r="D11" s="13" t="n">
        <v>52</v>
      </c>
      <c r="E11" s="12" t="s">
        <v>49</v>
      </c>
      <c r="F11" s="12" t="s">
        <v>50</v>
      </c>
      <c r="G11" s="14" t="s">
        <v>139</v>
      </c>
    </row>
    <row r="12" customFormat="false" ht="23.85" hidden="false" customHeight="false" outlineLevel="0" collapsed="false">
      <c r="A12" s="12" t="s">
        <v>12</v>
      </c>
      <c r="B12" s="12" t="s">
        <v>140</v>
      </c>
      <c r="C12" s="12" t="s">
        <v>141</v>
      </c>
      <c r="D12" s="13" t="n">
        <v>45</v>
      </c>
      <c r="E12" s="12" t="s">
        <v>49</v>
      </c>
      <c r="F12" s="12" t="s">
        <v>50</v>
      </c>
      <c r="G12" s="14" t="s">
        <v>139</v>
      </c>
    </row>
    <row r="13" customFormat="false" ht="23.85" hidden="false" customHeight="false" outlineLevel="0" collapsed="false">
      <c r="A13" s="12" t="s">
        <v>12</v>
      </c>
      <c r="B13" s="12" t="s">
        <v>79</v>
      </c>
      <c r="C13" s="12" t="s">
        <v>47</v>
      </c>
      <c r="D13" s="13" t="n">
        <v>40</v>
      </c>
      <c r="E13" s="12" t="s">
        <v>49</v>
      </c>
      <c r="F13" s="12" t="s">
        <v>50</v>
      </c>
      <c r="G13" s="14" t="s">
        <v>139</v>
      </c>
    </row>
    <row r="14" customFormat="false" ht="23.85" hidden="false" customHeight="false" outlineLevel="0" collapsed="false">
      <c r="A14" s="12" t="s">
        <v>12</v>
      </c>
      <c r="B14" s="12" t="s">
        <v>79</v>
      </c>
      <c r="C14" s="12" t="s">
        <v>47</v>
      </c>
      <c r="D14" s="13" t="n">
        <v>48</v>
      </c>
      <c r="E14" s="12" t="s">
        <v>49</v>
      </c>
      <c r="F14" s="12" t="s">
        <v>50</v>
      </c>
      <c r="G14" s="14" t="s">
        <v>139</v>
      </c>
    </row>
    <row r="15" customFormat="false" ht="23.85" hidden="false" customHeight="false" outlineLevel="0" collapsed="false">
      <c r="A15" s="12" t="s">
        <v>12</v>
      </c>
      <c r="B15" s="12" t="s">
        <v>79</v>
      </c>
      <c r="C15" s="12" t="s">
        <v>47</v>
      </c>
      <c r="D15" s="13" t="n">
        <v>49</v>
      </c>
      <c r="E15" s="12" t="s">
        <v>49</v>
      </c>
      <c r="F15" s="12" t="s">
        <v>50</v>
      </c>
      <c r="G15" s="14" t="s">
        <v>139</v>
      </c>
    </row>
    <row r="16" customFormat="false" ht="46.25" hidden="false" customHeight="false" outlineLevel="0" collapsed="false">
      <c r="A16" s="12" t="s">
        <v>12</v>
      </c>
      <c r="B16" s="12" t="s">
        <v>79</v>
      </c>
      <c r="C16" s="12" t="s">
        <v>142</v>
      </c>
      <c r="D16" s="13" t="n">
        <v>59</v>
      </c>
      <c r="E16" s="12" t="s">
        <v>143</v>
      </c>
      <c r="F16" s="12" t="s">
        <v>18</v>
      </c>
      <c r="G16" s="14" t="s">
        <v>144</v>
      </c>
    </row>
    <row r="17" customFormat="false" ht="46.25" hidden="false" customHeight="false" outlineLevel="0" collapsed="false">
      <c r="A17" s="12" t="s">
        <v>91</v>
      </c>
      <c r="B17" s="12" t="s">
        <v>101</v>
      </c>
      <c r="C17" s="12" t="s">
        <v>145</v>
      </c>
      <c r="D17" s="13" t="n">
        <v>58</v>
      </c>
      <c r="E17" s="12" t="s">
        <v>146</v>
      </c>
      <c r="F17" s="12" t="s">
        <v>50</v>
      </c>
      <c r="G17" s="14" t="s">
        <v>147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0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60"/>
  </cols>
  <sheetData>
    <row r="1" customFormat="false" ht="17.35" hidden="false" customHeight="false" outlineLevel="0" collapsed="false">
      <c r="A1" s="1" t="s">
        <v>148</v>
      </c>
      <c r="B1" s="1"/>
      <c r="C1" s="1"/>
      <c r="D1" s="1"/>
      <c r="E1" s="1"/>
      <c r="F1" s="1"/>
    </row>
    <row r="3" customFormat="false" ht="23.85" hidden="false" customHeight="false" outlineLevel="0" collapsed="false">
      <c r="A3" s="3" t="s">
        <v>4</v>
      </c>
      <c r="B3" s="3" t="s">
        <v>149</v>
      </c>
      <c r="C3" s="3" t="s">
        <v>2</v>
      </c>
      <c r="D3" s="3" t="s">
        <v>150</v>
      </c>
      <c r="E3" s="3" t="s">
        <v>7</v>
      </c>
      <c r="F3" s="3" t="s">
        <v>151</v>
      </c>
    </row>
    <row r="4" customFormat="false" ht="23.85" hidden="false" customHeight="false" outlineLevel="0" collapsed="false">
      <c r="A4" s="15" t="s">
        <v>152</v>
      </c>
      <c r="B4" s="15" t="s">
        <v>153</v>
      </c>
      <c r="C4" s="15" t="s">
        <v>12</v>
      </c>
      <c r="D4" s="15" t="s">
        <v>72</v>
      </c>
      <c r="E4" s="15" t="s">
        <v>142</v>
      </c>
      <c r="F4" s="16" t="s">
        <v>154</v>
      </c>
    </row>
    <row r="5" customFormat="false" ht="35.05" hidden="false" customHeight="false" outlineLevel="0" collapsed="false">
      <c r="A5" s="15" t="s">
        <v>155</v>
      </c>
      <c r="B5" s="15" t="s">
        <v>156</v>
      </c>
      <c r="C5" s="15" t="s">
        <v>12</v>
      </c>
      <c r="D5" s="15" t="s">
        <v>89</v>
      </c>
      <c r="E5" s="15" t="n">
        <v>54</v>
      </c>
      <c r="F5" s="16" t="s">
        <v>157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65"/>
  </cols>
  <sheetData>
    <row r="1" customFormat="false" ht="17.35" hidden="false" customHeight="false" outlineLevel="0" collapsed="false">
      <c r="A1" s="1" t="s">
        <v>158</v>
      </c>
      <c r="B1" s="1"/>
      <c r="C1" s="1"/>
      <c r="D1" s="1"/>
    </row>
    <row r="2" customFormat="false" ht="15" hidden="false" customHeight="false" outlineLevel="0" collapsed="false">
      <c r="A2" s="2" t="s">
        <v>159</v>
      </c>
      <c r="B2" s="2"/>
      <c r="C2" s="2"/>
      <c r="D2" s="2"/>
    </row>
    <row r="4" customFormat="false" ht="15" hidden="false" customHeight="false" outlineLevel="0" collapsed="false">
      <c r="A4" s="3" t="s">
        <v>160</v>
      </c>
      <c r="B4" s="3" t="s">
        <v>123</v>
      </c>
      <c r="C4" s="3" t="s">
        <v>161</v>
      </c>
      <c r="D4" s="3" t="s">
        <v>162</v>
      </c>
    </row>
    <row r="5" customFormat="false" ht="15" hidden="false" customHeight="false" outlineLevel="0" collapsed="false">
      <c r="A5" s="12" t="s">
        <v>163</v>
      </c>
      <c r="B5" s="12" t="s">
        <v>164</v>
      </c>
      <c r="C5" s="12" t="n">
        <v>7</v>
      </c>
      <c r="D5" s="14" t="s">
        <v>165</v>
      </c>
    </row>
    <row r="6" customFormat="false" ht="15" hidden="false" customHeight="false" outlineLevel="0" collapsed="false">
      <c r="A6" s="12" t="s">
        <v>166</v>
      </c>
      <c r="B6" s="12" t="s">
        <v>167</v>
      </c>
      <c r="C6" s="12" t="n">
        <v>14</v>
      </c>
      <c r="D6" s="14" t="s">
        <v>168</v>
      </c>
    </row>
    <row r="7" customFormat="false" ht="23.85" hidden="false" customHeight="false" outlineLevel="0" collapsed="false">
      <c r="A7" s="15" t="s">
        <v>169</v>
      </c>
      <c r="B7" s="15" t="s">
        <v>170</v>
      </c>
      <c r="C7" s="15" t="n">
        <v>0</v>
      </c>
      <c r="D7" s="16" t="s">
        <v>171</v>
      </c>
    </row>
    <row r="8" customFormat="false" ht="15" hidden="false" customHeight="false" outlineLevel="0" collapsed="false">
      <c r="A8" s="12" t="s">
        <v>172</v>
      </c>
      <c r="B8" s="12" t="s">
        <v>173</v>
      </c>
      <c r="C8" s="12" t="n">
        <v>6</v>
      </c>
      <c r="D8" s="14" t="s">
        <v>174</v>
      </c>
    </row>
    <row r="9" customFormat="false" ht="15" hidden="false" customHeight="false" outlineLevel="0" collapsed="false">
      <c r="A9" s="12" t="s">
        <v>175</v>
      </c>
      <c r="B9" s="12" t="s">
        <v>176</v>
      </c>
      <c r="C9" s="12" t="n">
        <v>3</v>
      </c>
      <c r="D9" s="14" t="s">
        <v>177</v>
      </c>
    </row>
    <row r="10" customFormat="false" ht="15" hidden="false" customHeight="false" outlineLevel="0" collapsed="false">
      <c r="A10" s="12" t="s">
        <v>178</v>
      </c>
      <c r="B10" s="12" t="s">
        <v>179</v>
      </c>
      <c r="C10" s="12" t="n">
        <v>4</v>
      </c>
      <c r="D10" s="14" t="s">
        <v>180</v>
      </c>
    </row>
    <row r="11" customFormat="false" ht="15" hidden="false" customHeight="false" outlineLevel="0" collapsed="false">
      <c r="A11" s="12" t="s">
        <v>181</v>
      </c>
      <c r="B11" s="12" t="s">
        <v>182</v>
      </c>
      <c r="C11" s="12" t="n">
        <v>1</v>
      </c>
      <c r="D11" s="14" t="s">
        <v>183</v>
      </c>
    </row>
    <row r="12" customFormat="false" ht="15" hidden="false" customHeight="false" outlineLevel="0" collapsed="false">
      <c r="A12" s="12" t="s">
        <v>184</v>
      </c>
      <c r="B12" s="12" t="s">
        <v>185</v>
      </c>
      <c r="C12" s="12" t="n">
        <v>1</v>
      </c>
      <c r="D12" s="14" t="s">
        <v>183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5" topLeftCell="F6" activePane="bottomRight" state="frozen"/>
      <selection pane="topLeft" activeCell="A1" activeCellId="0" sqref="A1"/>
      <selection pane="topRight" activeCell="F1" activeCellId="0" sqref="F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30"/>
    <col collapsed="false" customWidth="true" hidden="false" outlineLevel="0" max="5" min="5" style="0" width="22"/>
    <col collapsed="false" customWidth="true" hidden="false" outlineLevel="0" max="35" min="6" style="0" width="10"/>
    <col collapsed="false" customWidth="true" hidden="false" outlineLevel="0" max="36" min="36" style="0" width="12"/>
    <col collapsed="false" customWidth="true" hidden="false" outlineLevel="0" max="39" min="37" style="0" width="10"/>
  </cols>
  <sheetData>
    <row r="1" customFormat="false" ht="17.35" hidden="false" customHeight="false" outlineLevel="0" collapsed="false">
      <c r="A1" s="1" t="s">
        <v>186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customFormat="false" ht="15" hidden="false" customHeight="false" outlineLevel="0" collapsed="false">
      <c r="A2" s="2" t="s">
        <v>187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customFormat="false" ht="15" hidden="false" customHeight="false" outlineLevel="0" collapsed="false">
      <c r="A3" s="17" t="s">
        <v>188</v>
      </c>
      <c r="B3" s="18" t="s">
        <v>189</v>
      </c>
      <c r="E3" s="19" t="s">
        <v>190</v>
      </c>
      <c r="H3" s="20" t="s">
        <v>191</v>
      </c>
    </row>
    <row r="5" customFormat="false" ht="30" hidden="false" customHeight="true" outlineLevel="0" collapsed="false">
      <c r="A5" s="21" t="s">
        <v>2</v>
      </c>
      <c r="B5" s="21" t="s">
        <v>3</v>
      </c>
      <c r="C5" s="21" t="s">
        <v>4</v>
      </c>
      <c r="D5" s="21" t="s">
        <v>5</v>
      </c>
      <c r="E5" s="21" t="s">
        <v>8</v>
      </c>
      <c r="F5" s="21" t="s">
        <v>192</v>
      </c>
      <c r="G5" s="21" t="s">
        <v>193</v>
      </c>
      <c r="H5" s="21" t="s">
        <v>194</v>
      </c>
      <c r="I5" s="21" t="s">
        <v>195</v>
      </c>
      <c r="J5" s="21" t="s">
        <v>196</v>
      </c>
      <c r="K5" s="21" t="s">
        <v>197</v>
      </c>
      <c r="L5" s="21" t="s">
        <v>198</v>
      </c>
      <c r="M5" s="21" t="s">
        <v>199</v>
      </c>
      <c r="N5" s="21" t="s">
        <v>200</v>
      </c>
      <c r="O5" s="21" t="s">
        <v>201</v>
      </c>
      <c r="P5" s="21" t="s">
        <v>202</v>
      </c>
      <c r="Q5" s="21" t="s">
        <v>203</v>
      </c>
      <c r="R5" s="21" t="s">
        <v>204</v>
      </c>
      <c r="S5" s="21" t="s">
        <v>205</v>
      </c>
      <c r="T5" s="21" t="s">
        <v>206</v>
      </c>
      <c r="U5" s="21" t="s">
        <v>207</v>
      </c>
      <c r="V5" s="21" t="s">
        <v>208</v>
      </c>
      <c r="W5" s="21" t="s">
        <v>209</v>
      </c>
      <c r="X5" s="21" t="s">
        <v>210</v>
      </c>
      <c r="Y5" s="21" t="s">
        <v>211</v>
      </c>
      <c r="Z5" s="21" t="s">
        <v>212</v>
      </c>
      <c r="AA5" s="21" t="s">
        <v>213</v>
      </c>
      <c r="AB5" s="21" t="s">
        <v>214</v>
      </c>
      <c r="AC5" s="21" t="s">
        <v>215</v>
      </c>
      <c r="AD5" s="21" t="s">
        <v>216</v>
      </c>
      <c r="AE5" s="21" t="s">
        <v>217</v>
      </c>
      <c r="AF5" s="21" t="s">
        <v>218</v>
      </c>
      <c r="AG5" s="21" t="s">
        <v>219</v>
      </c>
      <c r="AH5" s="21" t="s">
        <v>220</v>
      </c>
      <c r="AI5" s="21" t="s">
        <v>221</v>
      </c>
      <c r="AJ5" s="21" t="s">
        <v>222</v>
      </c>
      <c r="AK5" s="21" t="s">
        <v>223</v>
      </c>
      <c r="AL5" s="21" t="s">
        <v>224</v>
      </c>
      <c r="AM5" s="21" t="s">
        <v>225</v>
      </c>
    </row>
    <row r="6" customFormat="false" ht="15" hidden="false" customHeight="false" outlineLevel="0" collapsed="false">
      <c r="A6" s="22" t="s">
        <v>12</v>
      </c>
      <c r="B6" s="23" t="s">
        <v>13</v>
      </c>
      <c r="C6" s="22" t="s">
        <v>14</v>
      </c>
      <c r="D6" s="23" t="s">
        <v>15</v>
      </c>
      <c r="E6" s="23" t="s">
        <v>17</v>
      </c>
      <c r="F6" s="24" t="n">
        <v>129.5</v>
      </c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6" t="n">
        <f aca="false">IFERROR(AVERAGE(F6:AI6),"")</f>
        <v>129.5</v>
      </c>
      <c r="AK6" s="26" t="n">
        <f aca="false">IFERROR(MIN(F6:AI6),"")</f>
        <v>129.5</v>
      </c>
      <c r="AL6" s="26" t="n">
        <f aca="false">IFERROR(MAX(F6:AI6),"")</f>
        <v>129.5</v>
      </c>
      <c r="AM6" s="27" t="n">
        <f aca="false">COUNT(F6:AI6)</f>
        <v>1</v>
      </c>
    </row>
    <row r="7" customFormat="false" ht="46.25" hidden="false" customHeight="false" outlineLevel="0" collapsed="false">
      <c r="A7" s="22" t="s">
        <v>12</v>
      </c>
      <c r="B7" s="23" t="s">
        <v>13</v>
      </c>
      <c r="C7" s="22" t="s">
        <v>21</v>
      </c>
      <c r="D7" s="23" t="s">
        <v>22</v>
      </c>
      <c r="E7" s="23" t="s">
        <v>24</v>
      </c>
      <c r="F7" s="24" t="n">
        <v>61.5</v>
      </c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6" t="n">
        <f aca="false">IFERROR(AVERAGE(F7:AI7),"")</f>
        <v>61.5</v>
      </c>
      <c r="AK7" s="26" t="n">
        <f aca="false">IFERROR(MIN(F7:AI7),"")</f>
        <v>61.5</v>
      </c>
      <c r="AL7" s="26" t="n">
        <f aca="false">IFERROR(MAX(F7:AI7),"")</f>
        <v>61.5</v>
      </c>
      <c r="AM7" s="27" t="n">
        <f aca="false">COUNT(F7:AI7)</f>
        <v>1</v>
      </c>
    </row>
    <row r="8" customFormat="false" ht="15" hidden="false" customHeight="false" outlineLevel="0" collapsed="false">
      <c r="A8" s="22" t="s">
        <v>12</v>
      </c>
      <c r="B8" s="23" t="s">
        <v>13</v>
      </c>
      <c r="C8" s="22" t="s">
        <v>26</v>
      </c>
      <c r="D8" s="23" t="s">
        <v>27</v>
      </c>
      <c r="E8" s="23" t="s">
        <v>29</v>
      </c>
      <c r="F8" s="24" t="n">
        <v>78.75</v>
      </c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6" t="n">
        <f aca="false">IFERROR(AVERAGE(F8:AI8),"")</f>
        <v>78.75</v>
      </c>
      <c r="AK8" s="26" t="n">
        <f aca="false">IFERROR(MIN(F8:AI8),"")</f>
        <v>78.75</v>
      </c>
      <c r="AL8" s="26" t="n">
        <f aca="false">IFERROR(MAX(F8:AI8),"")</f>
        <v>78.75</v>
      </c>
      <c r="AM8" s="27" t="n">
        <f aca="false">COUNT(F8:AI8)</f>
        <v>1</v>
      </c>
    </row>
    <row r="9" customFormat="false" ht="15" hidden="false" customHeight="false" outlineLevel="0" collapsed="false">
      <c r="A9" s="22" t="s">
        <v>12</v>
      </c>
      <c r="B9" s="23" t="s">
        <v>13</v>
      </c>
      <c r="C9" s="22" t="s">
        <v>30</v>
      </c>
      <c r="D9" s="23" t="s">
        <v>31</v>
      </c>
      <c r="E9" s="23" t="s">
        <v>33</v>
      </c>
      <c r="F9" s="24" t="n">
        <v>115</v>
      </c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6" t="n">
        <f aca="false">IFERROR(AVERAGE(F9:AI9),"")</f>
        <v>115</v>
      </c>
      <c r="AK9" s="26" t="n">
        <f aca="false">IFERROR(MIN(F9:AI9),"")</f>
        <v>115</v>
      </c>
      <c r="AL9" s="26" t="n">
        <f aca="false">IFERROR(MAX(F9:AI9),"")</f>
        <v>115</v>
      </c>
      <c r="AM9" s="27" t="n">
        <f aca="false">COUNT(F9:AI9)</f>
        <v>1</v>
      </c>
    </row>
    <row r="10" customFormat="false" ht="15" hidden="false" customHeight="false" outlineLevel="0" collapsed="false">
      <c r="A10" s="22" t="s">
        <v>12</v>
      </c>
      <c r="B10" s="23" t="s">
        <v>13</v>
      </c>
      <c r="C10" s="22" t="s">
        <v>35</v>
      </c>
      <c r="D10" s="23" t="s">
        <v>36</v>
      </c>
      <c r="E10" s="23" t="s">
        <v>38</v>
      </c>
      <c r="F10" s="24" t="n">
        <v>102</v>
      </c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6" t="n">
        <f aca="false">IFERROR(AVERAGE(F10:AI10),"")</f>
        <v>102</v>
      </c>
      <c r="AK10" s="26" t="n">
        <f aca="false">IFERROR(MIN(F10:AI10),"")</f>
        <v>102</v>
      </c>
      <c r="AL10" s="26" t="n">
        <f aca="false">IFERROR(MAX(F10:AI10),"")</f>
        <v>102</v>
      </c>
      <c r="AM10" s="27" t="n">
        <f aca="false">COUNT(F10:AI10)</f>
        <v>1</v>
      </c>
    </row>
    <row r="11" customFormat="false" ht="15" hidden="false" customHeight="false" outlineLevel="0" collapsed="false">
      <c r="A11" s="22" t="s">
        <v>12</v>
      </c>
      <c r="B11" s="23" t="s">
        <v>13</v>
      </c>
      <c r="C11" s="22" t="s">
        <v>39</v>
      </c>
      <c r="D11" s="23" t="s">
        <v>36</v>
      </c>
      <c r="E11" s="23" t="s">
        <v>41</v>
      </c>
      <c r="F11" s="24" t="n">
        <v>58</v>
      </c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6" t="n">
        <f aca="false">IFERROR(AVERAGE(F11:AI11),"")</f>
        <v>58</v>
      </c>
      <c r="AK11" s="26" t="n">
        <f aca="false">IFERROR(MIN(F11:AI11),"")</f>
        <v>58</v>
      </c>
      <c r="AL11" s="26" t="n">
        <f aca="false">IFERROR(MAX(F11:AI11),"")</f>
        <v>58</v>
      </c>
      <c r="AM11" s="27" t="n">
        <f aca="false">COUNT(F11:AI11)</f>
        <v>1</v>
      </c>
    </row>
    <row r="12" customFormat="false" ht="15" hidden="false" customHeight="false" outlineLevel="0" collapsed="false">
      <c r="A12" s="22" t="s">
        <v>12</v>
      </c>
      <c r="B12" s="23" t="s">
        <v>13</v>
      </c>
      <c r="C12" s="22" t="s">
        <v>42</v>
      </c>
      <c r="D12" s="23" t="s">
        <v>43</v>
      </c>
      <c r="E12" s="23" t="s">
        <v>24</v>
      </c>
      <c r="F12" s="24" t="n">
        <v>87.8</v>
      </c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6" t="n">
        <f aca="false">IFERROR(AVERAGE(F12:AI12),"")</f>
        <v>87.8</v>
      </c>
      <c r="AK12" s="26" t="n">
        <f aca="false">IFERROR(MIN(F12:AI12),"")</f>
        <v>87.8</v>
      </c>
      <c r="AL12" s="26" t="n">
        <f aca="false">IFERROR(MAX(F12:AI12),"")</f>
        <v>87.8</v>
      </c>
      <c r="AM12" s="27" t="n">
        <f aca="false">COUNT(F12:AI12)</f>
        <v>1</v>
      </c>
    </row>
    <row r="13" customFormat="false" ht="15" hidden="false" customHeight="false" outlineLevel="0" collapsed="false">
      <c r="A13" s="22" t="s">
        <v>12</v>
      </c>
      <c r="B13" s="23" t="s">
        <v>45</v>
      </c>
      <c r="C13" s="22" t="s">
        <v>46</v>
      </c>
      <c r="D13" s="23" t="s">
        <v>47</v>
      </c>
      <c r="E13" s="23" t="s">
        <v>49</v>
      </c>
      <c r="F13" s="24" t="n">
        <v>52</v>
      </c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6" t="n">
        <f aca="false">IFERROR(AVERAGE(F13:AI13),"")</f>
        <v>52</v>
      </c>
      <c r="AK13" s="26" t="n">
        <f aca="false">IFERROR(MIN(F13:AI13),"")</f>
        <v>52</v>
      </c>
      <c r="AL13" s="26" t="n">
        <f aca="false">IFERROR(MAX(F13:AI13),"")</f>
        <v>52</v>
      </c>
      <c r="AM13" s="27" t="n">
        <f aca="false">COUNT(F13:AI13)</f>
        <v>1</v>
      </c>
    </row>
    <row r="14" customFormat="false" ht="15" hidden="false" customHeight="false" outlineLevel="0" collapsed="false">
      <c r="A14" s="22" t="s">
        <v>12</v>
      </c>
      <c r="B14" s="23" t="s">
        <v>45</v>
      </c>
      <c r="C14" s="22" t="s">
        <v>51</v>
      </c>
      <c r="D14" s="23" t="s">
        <v>47</v>
      </c>
      <c r="E14" s="23" t="s">
        <v>49</v>
      </c>
      <c r="F14" s="24" t="n">
        <v>54</v>
      </c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6" t="n">
        <f aca="false">IFERROR(AVERAGE(F14:AI14),"")</f>
        <v>54</v>
      </c>
      <c r="AK14" s="26" t="n">
        <f aca="false">IFERROR(MIN(F14:AI14),"")</f>
        <v>54</v>
      </c>
      <c r="AL14" s="26" t="n">
        <f aca="false">IFERROR(MAX(F14:AI14),"")</f>
        <v>54</v>
      </c>
      <c r="AM14" s="27" t="n">
        <f aca="false">COUNT(F14:AI14)</f>
        <v>1</v>
      </c>
    </row>
    <row r="15" customFormat="false" ht="15" hidden="false" customHeight="false" outlineLevel="0" collapsed="false">
      <c r="A15" s="22" t="s">
        <v>12</v>
      </c>
      <c r="B15" s="23" t="s">
        <v>45</v>
      </c>
      <c r="C15" s="22" t="s">
        <v>53</v>
      </c>
      <c r="D15" s="23" t="s">
        <v>53</v>
      </c>
      <c r="E15" s="23" t="s">
        <v>49</v>
      </c>
      <c r="F15" s="24" t="n">
        <v>50</v>
      </c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6" t="n">
        <f aca="false">IFERROR(AVERAGE(F15:AI15),"")</f>
        <v>50</v>
      </c>
      <c r="AK15" s="26" t="n">
        <f aca="false">IFERROR(MIN(F15:AI15),"")</f>
        <v>50</v>
      </c>
      <c r="AL15" s="26" t="n">
        <f aca="false">IFERROR(MAX(F15:AI15),"")</f>
        <v>50</v>
      </c>
      <c r="AM15" s="27" t="n">
        <f aca="false">COUNT(F15:AI15)</f>
        <v>1</v>
      </c>
    </row>
    <row r="16" customFormat="false" ht="15" hidden="false" customHeight="false" outlineLevel="0" collapsed="false">
      <c r="A16" s="22" t="s">
        <v>12</v>
      </c>
      <c r="B16" s="23" t="s">
        <v>45</v>
      </c>
      <c r="C16" s="22" t="s">
        <v>55</v>
      </c>
      <c r="D16" s="23" t="s">
        <v>47</v>
      </c>
      <c r="E16" s="23" t="s">
        <v>49</v>
      </c>
      <c r="F16" s="24" t="n">
        <v>53</v>
      </c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6" t="n">
        <f aca="false">IFERROR(AVERAGE(F16:AI16),"")</f>
        <v>53</v>
      </c>
      <c r="AK16" s="26" t="n">
        <f aca="false">IFERROR(MIN(F16:AI16),"")</f>
        <v>53</v>
      </c>
      <c r="AL16" s="26" t="n">
        <f aca="false">IFERROR(MAX(F16:AI16),"")</f>
        <v>53</v>
      </c>
      <c r="AM16" s="27" t="n">
        <f aca="false">COUNT(F16:AI16)</f>
        <v>1</v>
      </c>
    </row>
    <row r="17" customFormat="false" ht="15" hidden="false" customHeight="false" outlineLevel="0" collapsed="false">
      <c r="A17" s="22" t="s">
        <v>12</v>
      </c>
      <c r="B17" s="23" t="s">
        <v>45</v>
      </c>
      <c r="C17" s="22" t="s">
        <v>57</v>
      </c>
      <c r="D17" s="23" t="s">
        <v>58</v>
      </c>
      <c r="E17" s="23" t="s">
        <v>49</v>
      </c>
      <c r="F17" s="24" t="n">
        <v>54</v>
      </c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6" t="n">
        <f aca="false">IFERROR(AVERAGE(F17:AI17),"")</f>
        <v>54</v>
      </c>
      <c r="AK17" s="26" t="n">
        <f aca="false">IFERROR(MIN(F17:AI17),"")</f>
        <v>54</v>
      </c>
      <c r="AL17" s="26" t="n">
        <f aca="false">IFERROR(MAX(F17:AI17),"")</f>
        <v>54</v>
      </c>
      <c r="AM17" s="27" t="n">
        <f aca="false">COUNT(F17:AI17)</f>
        <v>1</v>
      </c>
    </row>
    <row r="18" customFormat="false" ht="15" hidden="false" customHeight="false" outlineLevel="0" collapsed="false">
      <c r="A18" s="22" t="s">
        <v>12</v>
      </c>
      <c r="B18" s="23" t="s">
        <v>45</v>
      </c>
      <c r="C18" s="22" t="s">
        <v>59</v>
      </c>
      <c r="D18" s="23" t="s">
        <v>60</v>
      </c>
      <c r="E18" s="23" t="s">
        <v>49</v>
      </c>
      <c r="F18" s="24" t="n">
        <v>45</v>
      </c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6" t="n">
        <f aca="false">IFERROR(AVERAGE(F18:AI18),"")</f>
        <v>45</v>
      </c>
      <c r="AK18" s="26" t="n">
        <f aca="false">IFERROR(MIN(F18:AI18),"")</f>
        <v>45</v>
      </c>
      <c r="AL18" s="26" t="n">
        <f aca="false">IFERROR(MAX(F18:AI18),"")</f>
        <v>45</v>
      </c>
      <c r="AM18" s="27" t="n">
        <f aca="false">COUNT(F18:AI18)</f>
        <v>1</v>
      </c>
    </row>
    <row r="19" customFormat="false" ht="23.85" hidden="false" customHeight="false" outlineLevel="0" collapsed="false">
      <c r="A19" s="22" t="s">
        <v>12</v>
      </c>
      <c r="B19" s="23" t="s">
        <v>45</v>
      </c>
      <c r="C19" s="22" t="s">
        <v>26</v>
      </c>
      <c r="D19" s="23" t="s">
        <v>62</v>
      </c>
      <c r="E19" s="23" t="s">
        <v>29</v>
      </c>
      <c r="F19" s="24" t="n">
        <v>90.5</v>
      </c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6" t="n">
        <f aca="false">IFERROR(AVERAGE(F19:AI19),"")</f>
        <v>90.5</v>
      </c>
      <c r="AK19" s="26" t="n">
        <f aca="false">IFERROR(MIN(F19:AI19),"")</f>
        <v>90.5</v>
      </c>
      <c r="AL19" s="26" t="n">
        <f aca="false">IFERROR(MAX(F19:AI19),"")</f>
        <v>90.5</v>
      </c>
      <c r="AM19" s="27" t="n">
        <f aca="false">COUNT(F19:AI19)</f>
        <v>1</v>
      </c>
    </row>
    <row r="20" customFormat="false" ht="35.05" hidden="false" customHeight="false" outlineLevel="0" collapsed="false">
      <c r="A20" s="22" t="s">
        <v>12</v>
      </c>
      <c r="B20" s="23" t="s">
        <v>45</v>
      </c>
      <c r="C20" s="22" t="s">
        <v>64</v>
      </c>
      <c r="D20" s="23" t="s">
        <v>65</v>
      </c>
      <c r="E20" s="23" t="s">
        <v>24</v>
      </c>
      <c r="F20" s="24" t="n">
        <v>97.25</v>
      </c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6" t="n">
        <f aca="false">IFERROR(AVERAGE(F20:AI20),"")</f>
        <v>97.25</v>
      </c>
      <c r="AK20" s="26" t="n">
        <f aca="false">IFERROR(MIN(F20:AI20),"")</f>
        <v>97.25</v>
      </c>
      <c r="AL20" s="26" t="n">
        <f aca="false">IFERROR(MAX(F20:AI20),"")</f>
        <v>97.25</v>
      </c>
      <c r="AM20" s="27" t="n">
        <f aca="false">COUNT(F20:AI20)</f>
        <v>1</v>
      </c>
    </row>
    <row r="21" customFormat="false" ht="15" hidden="false" customHeight="false" outlineLevel="0" collapsed="false">
      <c r="A21" s="22" t="s">
        <v>12</v>
      </c>
      <c r="B21" s="23" t="s">
        <v>45</v>
      </c>
      <c r="C21" s="22" t="s">
        <v>68</v>
      </c>
      <c r="D21" s="23" t="s">
        <v>69</v>
      </c>
      <c r="E21" s="23" t="s">
        <v>49</v>
      </c>
      <c r="F21" s="24" t="n">
        <v>54</v>
      </c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6" t="n">
        <f aca="false">IFERROR(AVERAGE(F21:AI21),"")</f>
        <v>54</v>
      </c>
      <c r="AK21" s="26" t="n">
        <f aca="false">IFERROR(MIN(F21:AI21),"")</f>
        <v>54</v>
      </c>
      <c r="AL21" s="26" t="n">
        <f aca="false">IFERROR(MAX(F21:AI21),"")</f>
        <v>54</v>
      </c>
      <c r="AM21" s="27" t="n">
        <f aca="false">COUNT(F21:AI21)</f>
        <v>1</v>
      </c>
    </row>
    <row r="22" customFormat="false" ht="15" hidden="false" customHeight="false" outlineLevel="0" collapsed="false">
      <c r="A22" s="22" t="s">
        <v>12</v>
      </c>
      <c r="B22" s="23" t="s">
        <v>45</v>
      </c>
      <c r="C22" s="22" t="s">
        <v>70</v>
      </c>
      <c r="D22" s="23" t="s">
        <v>69</v>
      </c>
      <c r="E22" s="23" t="s">
        <v>49</v>
      </c>
      <c r="F22" s="24" t="n">
        <v>54</v>
      </c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6" t="n">
        <f aca="false">IFERROR(AVERAGE(F22:AI22),"")</f>
        <v>54</v>
      </c>
      <c r="AK22" s="26" t="n">
        <f aca="false">IFERROR(MIN(F22:AI22),"")</f>
        <v>54</v>
      </c>
      <c r="AL22" s="26" t="n">
        <f aca="false">IFERROR(MAX(F22:AI22),"")</f>
        <v>54</v>
      </c>
      <c r="AM22" s="27" t="n">
        <f aca="false">COUNT(F22:AI22)</f>
        <v>1</v>
      </c>
    </row>
    <row r="23" customFormat="false" ht="15" hidden="false" customHeight="false" outlineLevel="0" collapsed="false">
      <c r="A23" s="22" t="s">
        <v>12</v>
      </c>
      <c r="B23" s="23" t="s">
        <v>45</v>
      </c>
      <c r="C23" s="22" t="s">
        <v>71</v>
      </c>
      <c r="D23" s="23" t="s">
        <v>72</v>
      </c>
      <c r="E23" s="23" t="s">
        <v>49</v>
      </c>
      <c r="F23" s="24" t="n">
        <v>64</v>
      </c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6" t="n">
        <f aca="false">IFERROR(AVERAGE(F23:AI23),"")</f>
        <v>64</v>
      </c>
      <c r="AK23" s="26" t="n">
        <f aca="false">IFERROR(MIN(F23:AI23),"")</f>
        <v>64</v>
      </c>
      <c r="AL23" s="26" t="n">
        <f aca="false">IFERROR(MAX(F23:AI23),"")</f>
        <v>64</v>
      </c>
      <c r="AM23" s="27" t="n">
        <f aca="false">COUNT(F23:AI23)</f>
        <v>1</v>
      </c>
    </row>
    <row r="24" customFormat="false" ht="15" hidden="false" customHeight="false" outlineLevel="0" collapsed="false">
      <c r="A24" s="22" t="s">
        <v>12</v>
      </c>
      <c r="B24" s="23" t="s">
        <v>45</v>
      </c>
      <c r="C24" s="22" t="s">
        <v>74</v>
      </c>
      <c r="D24" s="23" t="s">
        <v>47</v>
      </c>
      <c r="E24" s="23" t="s">
        <v>49</v>
      </c>
      <c r="F24" s="24" t="n">
        <v>52</v>
      </c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6" t="n">
        <f aca="false">IFERROR(AVERAGE(F24:AI24),"")</f>
        <v>52</v>
      </c>
      <c r="AK24" s="26" t="n">
        <f aca="false">IFERROR(MIN(F24:AI24),"")</f>
        <v>52</v>
      </c>
      <c r="AL24" s="26" t="n">
        <f aca="false">IFERROR(MAX(F24:AI24),"")</f>
        <v>52</v>
      </c>
      <c r="AM24" s="27" t="n">
        <f aca="false">COUNT(F24:AI24)</f>
        <v>1</v>
      </c>
    </row>
    <row r="25" customFormat="false" ht="15" hidden="false" customHeight="false" outlineLevel="0" collapsed="false">
      <c r="A25" s="22" t="s">
        <v>12</v>
      </c>
      <c r="B25" s="23" t="s">
        <v>45</v>
      </c>
      <c r="C25" s="22" t="s">
        <v>35</v>
      </c>
      <c r="D25" s="23" t="s">
        <v>43</v>
      </c>
      <c r="E25" s="23" t="s">
        <v>38</v>
      </c>
      <c r="F25" s="24" t="n">
        <v>87</v>
      </c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6" t="n">
        <f aca="false">IFERROR(AVERAGE(F25:AI25),"")</f>
        <v>87</v>
      </c>
      <c r="AK25" s="26" t="n">
        <f aca="false">IFERROR(MIN(F25:AI25),"")</f>
        <v>87</v>
      </c>
      <c r="AL25" s="26" t="n">
        <f aca="false">IFERROR(MAX(F25:AI25),"")</f>
        <v>87</v>
      </c>
      <c r="AM25" s="27" t="n">
        <f aca="false">COUNT(F25:AI25)</f>
        <v>1</v>
      </c>
    </row>
    <row r="26" customFormat="false" ht="15" hidden="false" customHeight="false" outlineLevel="0" collapsed="false">
      <c r="A26" s="22" t="s">
        <v>12</v>
      </c>
      <c r="B26" s="23" t="s">
        <v>45</v>
      </c>
      <c r="C26" s="22" t="s">
        <v>76</v>
      </c>
      <c r="D26" s="23" t="s">
        <v>77</v>
      </c>
      <c r="E26" s="23" t="s">
        <v>24</v>
      </c>
      <c r="F26" s="24" t="n">
        <v>85</v>
      </c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6" t="n">
        <f aca="false">IFERROR(AVERAGE(F26:AI26),"")</f>
        <v>85</v>
      </c>
      <c r="AK26" s="26" t="n">
        <f aca="false">IFERROR(MIN(F26:AI26),"")</f>
        <v>85</v>
      </c>
      <c r="AL26" s="26" t="n">
        <f aca="false">IFERROR(MAX(F26:AI26),"")</f>
        <v>85</v>
      </c>
      <c r="AM26" s="27" t="n">
        <f aca="false">COUNT(F26:AI26)</f>
        <v>1</v>
      </c>
    </row>
    <row r="27" customFormat="false" ht="23.85" hidden="false" customHeight="false" outlineLevel="0" collapsed="false">
      <c r="A27" s="22" t="s">
        <v>12</v>
      </c>
      <c r="B27" s="23" t="s">
        <v>79</v>
      </c>
      <c r="C27" s="22" t="s">
        <v>80</v>
      </c>
      <c r="D27" s="23" t="s">
        <v>47</v>
      </c>
      <c r="E27" s="23" t="s">
        <v>49</v>
      </c>
      <c r="F27" s="24" t="n">
        <v>48</v>
      </c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6" t="n">
        <f aca="false">IFERROR(AVERAGE(F27:AI27),"")</f>
        <v>48</v>
      </c>
      <c r="AK27" s="26" t="n">
        <f aca="false">IFERROR(MIN(F27:AI27),"")</f>
        <v>48</v>
      </c>
      <c r="AL27" s="26" t="n">
        <f aca="false">IFERROR(MAX(F27:AI27),"")</f>
        <v>48</v>
      </c>
      <c r="AM27" s="27" t="n">
        <f aca="false">COUNT(F27:AI27)</f>
        <v>1</v>
      </c>
    </row>
    <row r="28" customFormat="false" ht="23.85" hidden="false" customHeight="false" outlineLevel="0" collapsed="false">
      <c r="A28" s="22" t="s">
        <v>12</v>
      </c>
      <c r="B28" s="23" t="s">
        <v>79</v>
      </c>
      <c r="C28" s="22" t="s">
        <v>82</v>
      </c>
      <c r="D28" s="23" t="s">
        <v>47</v>
      </c>
      <c r="E28" s="23" t="s">
        <v>49</v>
      </c>
      <c r="F28" s="24" t="n">
        <v>49</v>
      </c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6" t="n">
        <f aca="false">IFERROR(AVERAGE(F28:AI28),"")</f>
        <v>49</v>
      </c>
      <c r="AK28" s="26" t="n">
        <f aca="false">IFERROR(MIN(F28:AI28),"")</f>
        <v>49</v>
      </c>
      <c r="AL28" s="26" t="n">
        <f aca="false">IFERROR(MAX(F28:AI28),"")</f>
        <v>49</v>
      </c>
      <c r="AM28" s="27" t="n">
        <f aca="false">COUNT(F28:AI28)</f>
        <v>1</v>
      </c>
    </row>
    <row r="29" customFormat="false" ht="23.85" hidden="false" customHeight="false" outlineLevel="0" collapsed="false">
      <c r="A29" s="22" t="s">
        <v>12</v>
      </c>
      <c r="B29" s="23" t="s">
        <v>79</v>
      </c>
      <c r="C29" s="22" t="s">
        <v>84</v>
      </c>
      <c r="D29" s="23" t="s">
        <v>47</v>
      </c>
      <c r="E29" s="23" t="s">
        <v>49</v>
      </c>
      <c r="F29" s="24" t="n">
        <v>47</v>
      </c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6" t="n">
        <f aca="false">IFERROR(AVERAGE(F29:AI29),"")</f>
        <v>47</v>
      </c>
      <c r="AK29" s="26" t="n">
        <f aca="false">IFERROR(MIN(F29:AI29),"")</f>
        <v>47</v>
      </c>
      <c r="AL29" s="26" t="n">
        <f aca="false">IFERROR(MAX(F29:AI29),"")</f>
        <v>47</v>
      </c>
      <c r="AM29" s="27" t="n">
        <f aca="false">COUNT(F29:AI29)</f>
        <v>1</v>
      </c>
    </row>
    <row r="30" customFormat="false" ht="23.85" hidden="false" customHeight="false" outlineLevel="0" collapsed="false">
      <c r="A30" s="22" t="s">
        <v>12</v>
      </c>
      <c r="B30" s="23" t="s">
        <v>79</v>
      </c>
      <c r="C30" s="22" t="s">
        <v>86</v>
      </c>
      <c r="D30" s="23" t="s">
        <v>47</v>
      </c>
      <c r="E30" s="23" t="s">
        <v>49</v>
      </c>
      <c r="F30" s="24" t="n">
        <v>47</v>
      </c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6" t="n">
        <f aca="false">IFERROR(AVERAGE(F30:AI30),"")</f>
        <v>47</v>
      </c>
      <c r="AK30" s="26" t="n">
        <f aca="false">IFERROR(MIN(F30:AI30),"")</f>
        <v>47</v>
      </c>
      <c r="AL30" s="26" t="n">
        <f aca="false">IFERROR(MAX(F30:AI30),"")</f>
        <v>47</v>
      </c>
      <c r="AM30" s="27" t="n">
        <f aca="false">COUNT(F30:AI30)</f>
        <v>1</v>
      </c>
    </row>
    <row r="31" customFormat="false" ht="23.85" hidden="false" customHeight="false" outlineLevel="0" collapsed="false">
      <c r="A31" s="22" t="s">
        <v>12</v>
      </c>
      <c r="B31" s="23" t="s">
        <v>79</v>
      </c>
      <c r="C31" s="22" t="s">
        <v>87</v>
      </c>
      <c r="D31" s="23" t="s">
        <v>47</v>
      </c>
      <c r="E31" s="23" t="s">
        <v>49</v>
      </c>
      <c r="F31" s="24" t="n">
        <v>47</v>
      </c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6" t="n">
        <f aca="false">IFERROR(AVERAGE(F31:AI31),"")</f>
        <v>47</v>
      </c>
      <c r="AK31" s="26" t="n">
        <f aca="false">IFERROR(MIN(F31:AI31),"")</f>
        <v>47</v>
      </c>
      <c r="AL31" s="26" t="n">
        <f aca="false">IFERROR(MAX(F31:AI31),"")</f>
        <v>47</v>
      </c>
      <c r="AM31" s="27" t="n">
        <f aca="false">COUNT(F31:AI31)</f>
        <v>1</v>
      </c>
    </row>
    <row r="32" customFormat="false" ht="23.85" hidden="false" customHeight="false" outlineLevel="0" collapsed="false">
      <c r="A32" s="22" t="s">
        <v>12</v>
      </c>
      <c r="B32" s="23" t="s">
        <v>79</v>
      </c>
      <c r="C32" s="22" t="s">
        <v>88</v>
      </c>
      <c r="D32" s="23" t="s">
        <v>89</v>
      </c>
      <c r="E32" s="23" t="s">
        <v>49</v>
      </c>
      <c r="F32" s="24" t="n">
        <v>21</v>
      </c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6" t="n">
        <f aca="false">IFERROR(AVERAGE(F32:AI32),"")</f>
        <v>21</v>
      </c>
      <c r="AK32" s="26" t="n">
        <f aca="false">IFERROR(MIN(F32:AI32),"")</f>
        <v>21</v>
      </c>
      <c r="AL32" s="26" t="n">
        <f aca="false">IFERROR(MAX(F32:AI32),"")</f>
        <v>21</v>
      </c>
      <c r="AM32" s="27" t="n">
        <f aca="false">COUNT(F32:AI32)</f>
        <v>1</v>
      </c>
    </row>
    <row r="33" customFormat="false" ht="15" hidden="false" customHeight="false" outlineLevel="0" collapsed="false">
      <c r="A33" s="22" t="s">
        <v>91</v>
      </c>
      <c r="B33" s="23" t="s">
        <v>92</v>
      </c>
      <c r="C33" s="22" t="s">
        <v>93</v>
      </c>
      <c r="D33" s="23" t="s">
        <v>94</v>
      </c>
      <c r="E33" s="23" t="s">
        <v>96</v>
      </c>
      <c r="F33" s="24" t="n">
        <v>74</v>
      </c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6" t="n">
        <f aca="false">IFERROR(AVERAGE(F33:AI33),"")</f>
        <v>74</v>
      </c>
      <c r="AK33" s="26" t="n">
        <f aca="false">IFERROR(MIN(F33:AI33),"")</f>
        <v>74</v>
      </c>
      <c r="AL33" s="26" t="n">
        <f aca="false">IFERROR(MAX(F33:AI33),"")</f>
        <v>74</v>
      </c>
      <c r="AM33" s="27" t="n">
        <f aca="false">COUNT(F33:AI33)</f>
        <v>1</v>
      </c>
    </row>
    <row r="34" customFormat="false" ht="15" hidden="false" customHeight="false" outlineLevel="0" collapsed="false">
      <c r="A34" s="22" t="s">
        <v>91</v>
      </c>
      <c r="B34" s="23" t="s">
        <v>92</v>
      </c>
      <c r="C34" s="22" t="s">
        <v>26</v>
      </c>
      <c r="D34" s="23" t="s">
        <v>94</v>
      </c>
      <c r="E34" s="23" t="s">
        <v>96</v>
      </c>
      <c r="F34" s="24" t="n">
        <v>142</v>
      </c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6" t="n">
        <f aca="false">IFERROR(AVERAGE(F34:AI34),"")</f>
        <v>142</v>
      </c>
      <c r="AK34" s="26" t="n">
        <f aca="false">IFERROR(MIN(F34:AI34),"")</f>
        <v>142</v>
      </c>
      <c r="AL34" s="26" t="n">
        <f aca="false">IFERROR(MAX(F34:AI34),"")</f>
        <v>142</v>
      </c>
      <c r="AM34" s="27" t="n">
        <f aca="false">COUNT(F34:AI34)</f>
        <v>1</v>
      </c>
    </row>
    <row r="35" customFormat="false" ht="15" hidden="false" customHeight="false" outlineLevel="0" collapsed="false">
      <c r="A35" s="22" t="s">
        <v>91</v>
      </c>
      <c r="B35" s="23" t="s">
        <v>92</v>
      </c>
      <c r="C35" s="22" t="s">
        <v>98</v>
      </c>
      <c r="D35" s="23" t="s">
        <v>99</v>
      </c>
      <c r="E35" s="23" t="s">
        <v>96</v>
      </c>
      <c r="F35" s="24" t="n">
        <v>130</v>
      </c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6" t="n">
        <f aca="false">IFERROR(AVERAGE(F35:AI35),"")</f>
        <v>130</v>
      </c>
      <c r="AK35" s="26" t="n">
        <f aca="false">IFERROR(MIN(F35:AI35),"")</f>
        <v>130</v>
      </c>
      <c r="AL35" s="26" t="n">
        <f aca="false">IFERROR(MAX(F35:AI35),"")</f>
        <v>130</v>
      </c>
      <c r="AM35" s="27" t="n">
        <f aca="false">COUNT(F35:AI35)</f>
        <v>1</v>
      </c>
    </row>
    <row r="36" customFormat="false" ht="23.85" hidden="false" customHeight="false" outlineLevel="0" collapsed="false">
      <c r="A36" s="22" t="s">
        <v>91</v>
      </c>
      <c r="B36" s="23" t="s">
        <v>101</v>
      </c>
      <c r="C36" s="22" t="s">
        <v>102</v>
      </c>
      <c r="D36" s="23" t="s">
        <v>103</v>
      </c>
      <c r="E36" s="23" t="s">
        <v>24</v>
      </c>
      <c r="F36" s="24" t="n">
        <v>49.96</v>
      </c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6" t="n">
        <f aca="false">IFERROR(AVERAGE(F36:AI36),"")</f>
        <v>49.96</v>
      </c>
      <c r="AK36" s="26" t="n">
        <f aca="false">IFERROR(MIN(F36:AI36),"")</f>
        <v>49.96</v>
      </c>
      <c r="AL36" s="26" t="n">
        <f aca="false">IFERROR(MAX(F36:AI36),"")</f>
        <v>49.96</v>
      </c>
      <c r="AM36" s="27" t="n">
        <f aca="false">COUNT(F36:AI36)</f>
        <v>1</v>
      </c>
    </row>
    <row r="37" customFormat="false" ht="23.85" hidden="false" customHeight="false" outlineLevel="0" collapsed="false">
      <c r="A37" s="22" t="s">
        <v>91</v>
      </c>
      <c r="B37" s="23" t="s">
        <v>101</v>
      </c>
      <c r="C37" s="22" t="s">
        <v>105</v>
      </c>
      <c r="D37" s="23" t="s">
        <v>106</v>
      </c>
      <c r="E37" s="23" t="s">
        <v>96</v>
      </c>
      <c r="F37" s="24" t="n">
        <v>50</v>
      </c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6" t="n">
        <f aca="false">IFERROR(AVERAGE(F37:AI37),"")</f>
        <v>50</v>
      </c>
      <c r="AK37" s="26" t="n">
        <f aca="false">IFERROR(MIN(F37:AI37),"")</f>
        <v>50</v>
      </c>
      <c r="AL37" s="26" t="n">
        <f aca="false">IFERROR(MAX(F37:AI37),"")</f>
        <v>50</v>
      </c>
      <c r="AM37" s="27" t="n">
        <f aca="false">COUNT(F37:AI37)</f>
        <v>1</v>
      </c>
    </row>
    <row r="38" customFormat="false" ht="23.85" hidden="false" customHeight="false" outlineLevel="0" collapsed="false">
      <c r="A38" s="22" t="s">
        <v>91</v>
      </c>
      <c r="B38" s="23" t="s">
        <v>101</v>
      </c>
      <c r="C38" s="22" t="s">
        <v>107</v>
      </c>
      <c r="D38" s="23" t="s">
        <v>108</v>
      </c>
      <c r="E38" s="23" t="s">
        <v>96</v>
      </c>
      <c r="F38" s="24" t="n">
        <v>50</v>
      </c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6" t="n">
        <f aca="false">IFERROR(AVERAGE(F38:AI38),"")</f>
        <v>50</v>
      </c>
      <c r="AK38" s="26" t="n">
        <f aca="false">IFERROR(MIN(F38:AI38),"")</f>
        <v>50</v>
      </c>
      <c r="AL38" s="26" t="n">
        <f aca="false">IFERROR(MAX(F38:AI38),"")</f>
        <v>50</v>
      </c>
      <c r="AM38" s="27" t="n">
        <f aca="false">COUNT(F38:AI38)</f>
        <v>1</v>
      </c>
    </row>
    <row r="39" customFormat="false" ht="23.85" hidden="false" customHeight="false" outlineLevel="0" collapsed="false">
      <c r="A39" s="22" t="s">
        <v>91</v>
      </c>
      <c r="B39" s="23" t="s">
        <v>101</v>
      </c>
      <c r="C39" s="22" t="s">
        <v>109</v>
      </c>
      <c r="D39" s="23" t="s">
        <v>106</v>
      </c>
      <c r="E39" s="23" t="s">
        <v>96</v>
      </c>
      <c r="F39" s="24" t="n">
        <v>50</v>
      </c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6" t="n">
        <f aca="false">IFERROR(AVERAGE(F39:AI39),"")</f>
        <v>50</v>
      </c>
      <c r="AK39" s="26" t="n">
        <f aca="false">IFERROR(MIN(F39:AI39),"")</f>
        <v>50</v>
      </c>
      <c r="AL39" s="26" t="n">
        <f aca="false">IFERROR(MAX(F39:AI39),"")</f>
        <v>50</v>
      </c>
      <c r="AM39" s="27" t="n">
        <f aca="false">COUNT(F39:AI39)</f>
        <v>1</v>
      </c>
    </row>
    <row r="40" customFormat="false" ht="23.85" hidden="false" customHeight="false" outlineLevel="0" collapsed="false">
      <c r="A40" s="22" t="s">
        <v>91</v>
      </c>
      <c r="B40" s="23" t="s">
        <v>110</v>
      </c>
      <c r="C40" s="22" t="s">
        <v>102</v>
      </c>
      <c r="D40" s="23" t="s">
        <v>111</v>
      </c>
      <c r="E40" s="23" t="s">
        <v>113</v>
      </c>
      <c r="F40" s="24" t="n">
        <v>70</v>
      </c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6" t="n">
        <f aca="false">IFERROR(AVERAGE(F40:AI40),"")</f>
        <v>70</v>
      </c>
      <c r="AK40" s="26" t="n">
        <f aca="false">IFERROR(MIN(F40:AI40),"")</f>
        <v>70</v>
      </c>
      <c r="AL40" s="26" t="n">
        <f aca="false">IFERROR(MAX(F40:AI40),"")</f>
        <v>70</v>
      </c>
      <c r="AM40" s="27" t="n">
        <f aca="false">COUNT(F40:AI40)</f>
        <v>1</v>
      </c>
    </row>
    <row r="41" customFormat="false" ht="23.85" hidden="false" customHeight="false" outlineLevel="0" collapsed="false">
      <c r="A41" s="22" t="s">
        <v>91</v>
      </c>
      <c r="B41" s="23" t="s">
        <v>116</v>
      </c>
      <c r="C41" s="22" t="s">
        <v>117</v>
      </c>
      <c r="D41" s="23" t="s">
        <v>118</v>
      </c>
      <c r="E41" s="23" t="s">
        <v>113</v>
      </c>
      <c r="F41" s="24" t="n">
        <v>52</v>
      </c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6" t="n">
        <f aca="false">IFERROR(AVERAGE(F41:AI41),"")</f>
        <v>52</v>
      </c>
      <c r="AK41" s="26" t="n">
        <f aca="false">IFERROR(MIN(F41:AI41),"")</f>
        <v>52</v>
      </c>
      <c r="AL41" s="26" t="n">
        <f aca="false">IFERROR(MAX(F41:AI41),"")</f>
        <v>52</v>
      </c>
      <c r="AM41" s="27" t="n">
        <f aca="false">COUNT(F41:AI41)</f>
        <v>1</v>
      </c>
    </row>
  </sheetData>
  <mergeCells count="2">
    <mergeCell ref="A1:AM1"/>
    <mergeCell ref="A2:A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2026-09-04T17:18:27Z</dcterms:created>
  <dc:creator>openpyxl</dc:creator>
  <dc:description/>
  <dc:language>en-US</dc:language>
  <cp:lastModifiedBy/>
  <dcterms:modified xsi:type="dcterms:W3CDTF">2026-09-04T17:44:30Z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